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3.69\녹색건축인증센터\#1. 건물에너지정보부\97.세움터(!!삭제주의!!)\세움터_2024\25.통계\1월\보도자료(연간)\10.재수정\"/>
    </mc:Choice>
  </mc:AlternateContent>
  <xr:revisionPtr revIDLastSave="0" documentId="13_ncr:1_{D3304CEA-6E38-4231-A4D4-0AEE6F57FDB5}" xr6:coauthVersionLast="47" xr6:coauthVersionMax="47" xr10:uidLastSave="{00000000-0000-0000-0000-000000000000}"/>
  <bookViews>
    <workbookView xWindow="-120" yWindow="-120" windowWidth="38640" windowHeight="21240" tabRatio="943" xr2:uid="{00000000-000D-0000-FFFF-FFFF00000000}"/>
  </bookViews>
  <sheets>
    <sheet name="목차" sheetId="21" r:id="rId1"/>
    <sheet name="1. 용도별" sheetId="2" r:id="rId2"/>
    <sheet name="2. 주거용" sheetId="4" r:id="rId3"/>
    <sheet name="3. 상업용" sheetId="17" r:id="rId4"/>
    <sheet name="4. 고층" sheetId="8" r:id="rId5"/>
    <sheet name="8. 고층건축물 BACKUP(건축물대장)" sheetId="14" state="hidden" r:id="rId6"/>
    <sheet name="8.고층건축물BACKUP(건축+주택)" sheetId="15" state="hidden" r:id="rId7"/>
    <sheet name="5-1. 경과년수별(시도별)" sheetId="19" r:id="rId8"/>
    <sheet name="5-2. 30년이상 건축물(시군구별) " sheetId="27" r:id="rId9"/>
    <sheet name="6. 말소" sheetId="20" r:id="rId10"/>
    <sheet name="7-1. 층수별" sheetId="28" r:id="rId11"/>
    <sheet name="7-2. 면적별" sheetId="29" r:id="rId12"/>
    <sheet name="7-3. 소유주체별" sheetId="30" r:id="rId13"/>
    <sheet name="8-1. 1인당 건축물 현황(시도별)" sheetId="10" r:id="rId14"/>
    <sheet name="8-2. 1인당 건축물 현황(시군구별)" sheetId="26" r:id="rId15"/>
    <sheet name="9. 국토면적 대비 건축물 현황" sheetId="18" r:id="rId16"/>
  </sheets>
  <definedNames>
    <definedName name="_xlnm._FilterDatabase" localSheetId="4" hidden="1">'4. 고층'!$B$62:$G$177</definedName>
    <definedName name="_xlnm._FilterDatabase" localSheetId="8" hidden="1">'5-2. 30년이상 건축물(시군구별) '!$F$5:$F$255</definedName>
    <definedName name="_xlnm._FilterDatabase" localSheetId="14" hidden="1">'8-2. 1인당 건축물 현황(시군구별)'!$A$5:$H$255</definedName>
    <definedName name="_xlnm.Print_Area" localSheetId="14">'8-2. 1인당 건축물 현황(시군구별)'!$A$1:$H$255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8" l="1"/>
  <c r="J4" i="28" l="1"/>
  <c r="K4" i="28"/>
  <c r="F6" i="27" l="1"/>
  <c r="I6" i="27"/>
  <c r="F7" i="27"/>
  <c r="I7" i="27"/>
  <c r="F8" i="27"/>
  <c r="I8" i="27"/>
  <c r="F9" i="27"/>
  <c r="I9" i="27"/>
  <c r="F10" i="27"/>
  <c r="I10" i="27"/>
  <c r="F11" i="27"/>
  <c r="I11" i="27"/>
  <c r="F12" i="27"/>
  <c r="I12" i="27"/>
  <c r="F13" i="27"/>
  <c r="I13" i="27"/>
  <c r="F14" i="27"/>
  <c r="I14" i="27"/>
  <c r="F15" i="27"/>
  <c r="I15" i="27"/>
  <c r="F16" i="27"/>
  <c r="I16" i="27"/>
  <c r="F17" i="27"/>
  <c r="I17" i="27"/>
  <c r="F18" i="27"/>
  <c r="I18" i="27"/>
  <c r="F19" i="27"/>
  <c r="I19" i="27"/>
  <c r="F20" i="27"/>
  <c r="I20" i="27"/>
  <c r="F21" i="27"/>
  <c r="I21" i="27"/>
  <c r="F22" i="27"/>
  <c r="I22" i="27"/>
  <c r="F23" i="27"/>
  <c r="I23" i="27"/>
  <c r="F24" i="27"/>
  <c r="I24" i="27"/>
  <c r="F25" i="27"/>
  <c r="I25" i="27"/>
  <c r="F26" i="27"/>
  <c r="I26" i="27"/>
  <c r="F27" i="27"/>
  <c r="I27" i="27"/>
  <c r="F28" i="27"/>
  <c r="I28" i="27"/>
  <c r="F29" i="27"/>
  <c r="I29" i="27"/>
  <c r="F30" i="27"/>
  <c r="I30" i="27"/>
  <c r="F31" i="27"/>
  <c r="I31" i="27"/>
  <c r="F32" i="27"/>
  <c r="I32" i="27"/>
  <c r="F33" i="27"/>
  <c r="I33" i="27"/>
  <c r="F34" i="27"/>
  <c r="I34" i="27"/>
  <c r="F35" i="27"/>
  <c r="I35" i="27"/>
  <c r="F36" i="27"/>
  <c r="I36" i="27"/>
  <c r="F37" i="27"/>
  <c r="I37" i="27"/>
  <c r="F38" i="27"/>
  <c r="I38" i="27"/>
  <c r="F39" i="27"/>
  <c r="I39" i="27"/>
  <c r="F40" i="27"/>
  <c r="I40" i="27"/>
  <c r="F41" i="27"/>
  <c r="I41" i="27"/>
  <c r="F42" i="27"/>
  <c r="I42" i="27"/>
  <c r="F43" i="27"/>
  <c r="I43" i="27"/>
  <c r="F44" i="27"/>
  <c r="I44" i="27"/>
  <c r="F45" i="27"/>
  <c r="I45" i="27"/>
  <c r="F46" i="27"/>
  <c r="I46" i="27"/>
  <c r="F47" i="27"/>
  <c r="I47" i="27"/>
  <c r="F48" i="27"/>
  <c r="I48" i="27"/>
  <c r="F49" i="27"/>
  <c r="I49" i="27"/>
  <c r="F50" i="27"/>
  <c r="I50" i="27"/>
  <c r="F51" i="27"/>
  <c r="I51" i="27"/>
  <c r="F52" i="27"/>
  <c r="I52" i="27"/>
  <c r="F53" i="27"/>
  <c r="I53" i="27"/>
  <c r="F54" i="27"/>
  <c r="I54" i="27"/>
  <c r="F55" i="27"/>
  <c r="I55" i="27"/>
  <c r="F56" i="27"/>
  <c r="I56" i="27"/>
  <c r="F57" i="27"/>
  <c r="I57" i="27"/>
  <c r="F58" i="27"/>
  <c r="I58" i="27"/>
  <c r="F59" i="27"/>
  <c r="I59" i="27"/>
  <c r="F60" i="27"/>
  <c r="I60" i="27"/>
  <c r="F61" i="27"/>
  <c r="I61" i="27"/>
  <c r="F62" i="27"/>
  <c r="I62" i="27"/>
  <c r="F63" i="27"/>
  <c r="I63" i="27"/>
  <c r="F64" i="27"/>
  <c r="I64" i="27"/>
  <c r="F65" i="27"/>
  <c r="I65" i="27"/>
  <c r="F66" i="27"/>
  <c r="I66" i="27"/>
  <c r="F67" i="27"/>
  <c r="I67" i="27"/>
  <c r="F68" i="27"/>
  <c r="I68" i="27"/>
  <c r="F69" i="27"/>
  <c r="I69" i="27"/>
  <c r="F70" i="27"/>
  <c r="I70" i="27"/>
  <c r="F71" i="27"/>
  <c r="I71" i="27"/>
  <c r="F72" i="27"/>
  <c r="I72" i="27"/>
  <c r="F73" i="27"/>
  <c r="I73" i="27"/>
  <c r="F74" i="27"/>
  <c r="I74" i="27"/>
  <c r="F75" i="27"/>
  <c r="I75" i="27"/>
  <c r="F76" i="27"/>
  <c r="I76" i="27"/>
  <c r="F77" i="27"/>
  <c r="I77" i="27"/>
  <c r="F78" i="27"/>
  <c r="I78" i="27"/>
  <c r="F79" i="27"/>
  <c r="I79" i="27"/>
  <c r="F80" i="27"/>
  <c r="I80" i="27"/>
  <c r="F81" i="27"/>
  <c r="I81" i="27"/>
  <c r="F82" i="27"/>
  <c r="I82" i="27"/>
  <c r="F83" i="27"/>
  <c r="I83" i="27"/>
  <c r="F84" i="27"/>
  <c r="I84" i="27"/>
  <c r="F85" i="27"/>
  <c r="I85" i="27"/>
  <c r="F86" i="27"/>
  <c r="I86" i="27"/>
  <c r="F87" i="27"/>
  <c r="I87" i="27"/>
  <c r="F88" i="27"/>
  <c r="I88" i="27"/>
  <c r="F89" i="27"/>
  <c r="I89" i="27"/>
  <c r="F90" i="27"/>
  <c r="I90" i="27"/>
  <c r="F91" i="27"/>
  <c r="I91" i="27"/>
  <c r="F92" i="27"/>
  <c r="I92" i="27"/>
  <c r="F93" i="27"/>
  <c r="I93" i="27"/>
  <c r="F94" i="27"/>
  <c r="I94" i="27"/>
  <c r="F95" i="27"/>
  <c r="I95" i="27"/>
  <c r="F96" i="27"/>
  <c r="I96" i="27"/>
  <c r="F97" i="27"/>
  <c r="I97" i="27"/>
  <c r="F98" i="27"/>
  <c r="I98" i="27"/>
  <c r="F99" i="27"/>
  <c r="I99" i="27"/>
  <c r="F100" i="27"/>
  <c r="I100" i="27"/>
  <c r="F101" i="27"/>
  <c r="I101" i="27"/>
  <c r="F102" i="27"/>
  <c r="I102" i="27"/>
  <c r="F103" i="27"/>
  <c r="I103" i="27"/>
  <c r="F104" i="27"/>
  <c r="I104" i="27"/>
  <c r="F105" i="27"/>
  <c r="I105" i="27"/>
  <c r="F106" i="27"/>
  <c r="I106" i="27"/>
  <c r="F107" i="27"/>
  <c r="I107" i="27"/>
  <c r="F108" i="27"/>
  <c r="I108" i="27"/>
  <c r="F109" i="27"/>
  <c r="I109" i="27"/>
  <c r="F110" i="27"/>
  <c r="I110" i="27"/>
  <c r="F111" i="27"/>
  <c r="I111" i="27"/>
  <c r="F112" i="27"/>
  <c r="I112" i="27"/>
  <c r="F113" i="27"/>
  <c r="I113" i="27"/>
  <c r="F114" i="27"/>
  <c r="I114" i="27"/>
  <c r="F115" i="27"/>
  <c r="I115" i="27"/>
  <c r="F116" i="27"/>
  <c r="I116" i="27"/>
  <c r="F117" i="27"/>
  <c r="I117" i="27"/>
  <c r="F118" i="27"/>
  <c r="I118" i="27"/>
  <c r="F119" i="27"/>
  <c r="I119" i="27"/>
  <c r="F120" i="27"/>
  <c r="I120" i="27"/>
  <c r="F121" i="27"/>
  <c r="I121" i="27"/>
  <c r="F122" i="27"/>
  <c r="I122" i="27"/>
  <c r="F123" i="27"/>
  <c r="I123" i="27"/>
  <c r="F124" i="27"/>
  <c r="I124" i="27"/>
  <c r="F125" i="27"/>
  <c r="I125" i="27"/>
  <c r="F126" i="27"/>
  <c r="I126" i="27"/>
  <c r="F127" i="27"/>
  <c r="I127" i="27"/>
  <c r="F128" i="27"/>
  <c r="I128" i="27"/>
  <c r="F129" i="27"/>
  <c r="I129" i="27"/>
  <c r="F130" i="27"/>
  <c r="I130" i="27"/>
  <c r="F131" i="27"/>
  <c r="I131" i="27"/>
  <c r="F132" i="27"/>
  <c r="I132" i="27"/>
  <c r="F133" i="27"/>
  <c r="I133" i="27"/>
  <c r="F134" i="27"/>
  <c r="I134" i="27"/>
  <c r="F135" i="27"/>
  <c r="I135" i="27"/>
  <c r="F136" i="27"/>
  <c r="I136" i="27"/>
  <c r="F137" i="27"/>
  <c r="I137" i="27"/>
  <c r="F138" i="27"/>
  <c r="I138" i="27"/>
  <c r="F139" i="27"/>
  <c r="I139" i="27"/>
  <c r="F140" i="27"/>
  <c r="I140" i="27"/>
  <c r="F141" i="27"/>
  <c r="I141" i="27"/>
  <c r="F142" i="27"/>
  <c r="I142" i="27"/>
  <c r="F143" i="27"/>
  <c r="I143" i="27"/>
  <c r="F144" i="27"/>
  <c r="I144" i="27"/>
  <c r="F145" i="27"/>
  <c r="I145" i="27"/>
  <c r="F146" i="27"/>
  <c r="I146" i="27"/>
  <c r="F147" i="27"/>
  <c r="I147" i="27"/>
  <c r="F148" i="27"/>
  <c r="I148" i="27"/>
  <c r="F149" i="27"/>
  <c r="I149" i="27"/>
  <c r="F150" i="27"/>
  <c r="I150" i="27"/>
  <c r="F151" i="27"/>
  <c r="I151" i="27"/>
  <c r="F152" i="27"/>
  <c r="I152" i="27"/>
  <c r="F153" i="27"/>
  <c r="I153" i="27"/>
  <c r="F154" i="27"/>
  <c r="I154" i="27"/>
  <c r="F155" i="27"/>
  <c r="I155" i="27"/>
  <c r="F156" i="27"/>
  <c r="I156" i="27"/>
  <c r="F157" i="27"/>
  <c r="I157" i="27"/>
  <c r="F158" i="27"/>
  <c r="I158" i="27"/>
  <c r="F159" i="27"/>
  <c r="I159" i="27"/>
  <c r="F160" i="27"/>
  <c r="I160" i="27"/>
  <c r="F161" i="27"/>
  <c r="I161" i="27"/>
  <c r="F162" i="27"/>
  <c r="I162" i="27"/>
  <c r="F163" i="27"/>
  <c r="I163" i="27"/>
  <c r="F164" i="27"/>
  <c r="I164" i="27"/>
  <c r="F165" i="27"/>
  <c r="I165" i="27"/>
  <c r="F166" i="27"/>
  <c r="I166" i="27"/>
  <c r="F167" i="27"/>
  <c r="I167" i="27"/>
  <c r="F168" i="27"/>
  <c r="I168" i="27"/>
  <c r="F169" i="27"/>
  <c r="I169" i="27"/>
  <c r="F170" i="27"/>
  <c r="I170" i="27"/>
  <c r="F171" i="27"/>
  <c r="I171" i="27"/>
  <c r="F172" i="27"/>
  <c r="I172" i="27"/>
  <c r="F173" i="27"/>
  <c r="I173" i="27"/>
  <c r="F174" i="27"/>
  <c r="I174" i="27"/>
  <c r="F175" i="27"/>
  <c r="I175" i="27"/>
  <c r="F176" i="27"/>
  <c r="I176" i="27"/>
  <c r="F177" i="27"/>
  <c r="I177" i="27"/>
  <c r="F178" i="27"/>
  <c r="I178" i="27"/>
  <c r="F179" i="27"/>
  <c r="I179" i="27"/>
  <c r="F180" i="27"/>
  <c r="I180" i="27"/>
  <c r="F181" i="27"/>
  <c r="I181" i="27"/>
  <c r="F182" i="27"/>
  <c r="I182" i="27"/>
  <c r="F183" i="27"/>
  <c r="I183" i="27"/>
  <c r="F184" i="27"/>
  <c r="I184" i="27"/>
  <c r="F185" i="27"/>
  <c r="I185" i="27"/>
  <c r="F186" i="27"/>
  <c r="I186" i="27"/>
  <c r="F187" i="27"/>
  <c r="I187" i="27"/>
  <c r="F188" i="27"/>
  <c r="I188" i="27"/>
  <c r="F189" i="27"/>
  <c r="I189" i="27"/>
  <c r="F190" i="27"/>
  <c r="I190" i="27"/>
  <c r="F191" i="27"/>
  <c r="I191" i="27"/>
  <c r="F192" i="27"/>
  <c r="I192" i="27"/>
  <c r="F193" i="27"/>
  <c r="I193" i="27"/>
  <c r="F194" i="27"/>
  <c r="I194" i="27"/>
  <c r="F195" i="27"/>
  <c r="I195" i="27"/>
  <c r="F196" i="27"/>
  <c r="I196" i="27"/>
  <c r="F197" i="27"/>
  <c r="I197" i="27"/>
  <c r="F198" i="27"/>
  <c r="I198" i="27"/>
  <c r="F199" i="27"/>
  <c r="I199" i="27"/>
  <c r="F200" i="27"/>
  <c r="I200" i="27"/>
  <c r="F201" i="27"/>
  <c r="I201" i="27"/>
  <c r="F202" i="27"/>
  <c r="I202" i="27"/>
  <c r="F203" i="27"/>
  <c r="I203" i="27"/>
  <c r="F204" i="27"/>
  <c r="I204" i="27"/>
  <c r="F205" i="27"/>
  <c r="I205" i="27"/>
  <c r="F206" i="27"/>
  <c r="I206" i="27"/>
  <c r="F207" i="27"/>
  <c r="I207" i="27"/>
  <c r="F208" i="27"/>
  <c r="I208" i="27"/>
  <c r="F209" i="27"/>
  <c r="I209" i="27"/>
  <c r="F210" i="27"/>
  <c r="I210" i="27"/>
  <c r="F211" i="27"/>
  <c r="I211" i="27"/>
  <c r="F212" i="27"/>
  <c r="I212" i="27"/>
  <c r="F213" i="27"/>
  <c r="I213" i="27"/>
  <c r="F214" i="27"/>
  <c r="I214" i="27"/>
  <c r="F215" i="27"/>
  <c r="I215" i="27"/>
  <c r="F216" i="27"/>
  <c r="I216" i="27"/>
  <c r="F217" i="27"/>
  <c r="I217" i="27"/>
  <c r="F218" i="27"/>
  <c r="I218" i="27"/>
  <c r="F219" i="27"/>
  <c r="I219" i="27"/>
  <c r="F220" i="27"/>
  <c r="I220" i="27"/>
  <c r="F221" i="27"/>
  <c r="I221" i="27"/>
  <c r="F222" i="27"/>
  <c r="I222" i="27"/>
  <c r="F223" i="27"/>
  <c r="I223" i="27"/>
  <c r="F224" i="27"/>
  <c r="I224" i="27"/>
  <c r="F225" i="27"/>
  <c r="I225" i="27"/>
  <c r="F226" i="27"/>
  <c r="I226" i="27"/>
  <c r="F227" i="27"/>
  <c r="I227" i="27"/>
  <c r="F228" i="27"/>
  <c r="I228" i="27"/>
  <c r="F229" i="27"/>
  <c r="I229" i="27"/>
  <c r="F230" i="27"/>
  <c r="I230" i="27"/>
  <c r="F231" i="27"/>
  <c r="I231" i="27"/>
  <c r="F232" i="27"/>
  <c r="I232" i="27"/>
  <c r="F233" i="27"/>
  <c r="I233" i="27"/>
  <c r="F234" i="27"/>
  <c r="I234" i="27"/>
  <c r="F235" i="27"/>
  <c r="I235" i="27"/>
  <c r="F236" i="27"/>
  <c r="I236" i="27"/>
  <c r="F237" i="27"/>
  <c r="I237" i="27"/>
  <c r="F238" i="27"/>
  <c r="I238" i="27"/>
  <c r="F239" i="27"/>
  <c r="I239" i="27"/>
  <c r="F240" i="27"/>
  <c r="I240" i="27"/>
  <c r="F241" i="27"/>
  <c r="I241" i="27"/>
  <c r="F242" i="27"/>
  <c r="I242" i="27"/>
  <c r="F243" i="27"/>
  <c r="I243" i="27"/>
  <c r="F244" i="27"/>
  <c r="I244" i="27"/>
  <c r="F245" i="27"/>
  <c r="I245" i="27"/>
  <c r="F246" i="27"/>
  <c r="I246" i="27"/>
  <c r="F247" i="27"/>
  <c r="I247" i="27"/>
  <c r="F248" i="27"/>
  <c r="I248" i="27"/>
  <c r="F249" i="27"/>
  <c r="I249" i="27"/>
  <c r="F250" i="27"/>
  <c r="I250" i="27"/>
  <c r="F251" i="27"/>
  <c r="I251" i="27"/>
  <c r="F252" i="27"/>
  <c r="I252" i="27"/>
  <c r="F253" i="27"/>
  <c r="I253" i="27"/>
  <c r="F254" i="27"/>
  <c r="I254" i="27"/>
  <c r="F255" i="27"/>
  <c r="I255" i="27"/>
  <c r="D22" i="30" l="1"/>
  <c r="C22" i="30"/>
  <c r="D21" i="30"/>
  <c r="C21" i="30"/>
  <c r="D20" i="30"/>
  <c r="C20" i="30"/>
  <c r="D19" i="30"/>
  <c r="C19" i="30"/>
  <c r="D18" i="30"/>
  <c r="C18" i="30"/>
  <c r="D17" i="30"/>
  <c r="C17" i="30"/>
  <c r="D16" i="30"/>
  <c r="C16" i="30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L4" i="28"/>
  <c r="I4" i="28"/>
  <c r="H4" i="28"/>
  <c r="G4" i="28"/>
  <c r="F4" i="28"/>
  <c r="E4" i="28"/>
  <c r="D4" i="28"/>
  <c r="K4" i="29"/>
  <c r="J4" i="29"/>
  <c r="I4" i="29"/>
  <c r="H4" i="29"/>
  <c r="G4" i="29"/>
  <c r="F4" i="29"/>
  <c r="E4" i="29"/>
  <c r="D4" i="29"/>
  <c r="C4" i="28" l="1"/>
  <c r="C4" i="29"/>
  <c r="G6" i="26"/>
  <c r="E6" i="26"/>
  <c r="F6" i="26" s="1"/>
  <c r="F6" i="10" l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G255" i="26" l="1"/>
  <c r="H255" i="26" s="1"/>
  <c r="E255" i="26"/>
  <c r="F255" i="26" s="1"/>
  <c r="G254" i="26"/>
  <c r="H254" i="26" s="1"/>
  <c r="E254" i="26"/>
  <c r="F254" i="26" s="1"/>
  <c r="G253" i="26"/>
  <c r="H253" i="26" s="1"/>
  <c r="E253" i="26"/>
  <c r="F253" i="26" s="1"/>
  <c r="G252" i="26"/>
  <c r="H252" i="26" s="1"/>
  <c r="E252" i="26"/>
  <c r="F252" i="26" s="1"/>
  <c r="G251" i="26"/>
  <c r="H251" i="26" s="1"/>
  <c r="E251" i="26"/>
  <c r="F251" i="26" s="1"/>
  <c r="G250" i="26"/>
  <c r="H250" i="26" s="1"/>
  <c r="E250" i="26"/>
  <c r="F250" i="26" s="1"/>
  <c r="G249" i="26"/>
  <c r="H249" i="26" s="1"/>
  <c r="E249" i="26"/>
  <c r="F249" i="26" s="1"/>
  <c r="G248" i="26"/>
  <c r="H248" i="26" s="1"/>
  <c r="E248" i="26"/>
  <c r="F248" i="26" s="1"/>
  <c r="G247" i="26"/>
  <c r="H247" i="26" s="1"/>
  <c r="E247" i="26"/>
  <c r="F247" i="26" s="1"/>
  <c r="G246" i="26"/>
  <c r="H246" i="26" s="1"/>
  <c r="E246" i="26"/>
  <c r="F246" i="26" s="1"/>
  <c r="G245" i="26"/>
  <c r="H245" i="26" s="1"/>
  <c r="E245" i="26"/>
  <c r="F245" i="26" s="1"/>
  <c r="G244" i="26"/>
  <c r="H244" i="26" s="1"/>
  <c r="E244" i="26"/>
  <c r="F244" i="26" s="1"/>
  <c r="G243" i="26"/>
  <c r="H243" i="26" s="1"/>
  <c r="E243" i="26"/>
  <c r="F243" i="26" s="1"/>
  <c r="G242" i="26"/>
  <c r="H242" i="26" s="1"/>
  <c r="E242" i="26"/>
  <c r="F242" i="26" s="1"/>
  <c r="G241" i="26"/>
  <c r="H241" i="26" s="1"/>
  <c r="E241" i="26"/>
  <c r="F241" i="26" s="1"/>
  <c r="G240" i="26"/>
  <c r="H240" i="26" s="1"/>
  <c r="E240" i="26"/>
  <c r="F240" i="26" s="1"/>
  <c r="G239" i="26"/>
  <c r="H239" i="26" s="1"/>
  <c r="E239" i="26"/>
  <c r="F239" i="26" s="1"/>
  <c r="G238" i="26"/>
  <c r="H238" i="26" s="1"/>
  <c r="E238" i="26"/>
  <c r="F238" i="26" s="1"/>
  <c r="G237" i="26"/>
  <c r="H237" i="26" s="1"/>
  <c r="E237" i="26"/>
  <c r="F237" i="26" s="1"/>
  <c r="G236" i="26"/>
  <c r="H236" i="26" s="1"/>
  <c r="E236" i="26"/>
  <c r="F236" i="26" s="1"/>
  <c r="G235" i="26"/>
  <c r="H235" i="26" s="1"/>
  <c r="E235" i="26"/>
  <c r="F235" i="26" s="1"/>
  <c r="G234" i="26"/>
  <c r="H234" i="26" s="1"/>
  <c r="E234" i="26"/>
  <c r="F234" i="26" s="1"/>
  <c r="G233" i="26"/>
  <c r="H233" i="26" s="1"/>
  <c r="E233" i="26"/>
  <c r="F233" i="26" s="1"/>
  <c r="G232" i="26"/>
  <c r="H232" i="26" s="1"/>
  <c r="E232" i="26"/>
  <c r="F232" i="26" s="1"/>
  <c r="G231" i="26"/>
  <c r="H231" i="26" s="1"/>
  <c r="E231" i="26"/>
  <c r="F231" i="26" s="1"/>
  <c r="G230" i="26"/>
  <c r="H230" i="26" s="1"/>
  <c r="E230" i="26"/>
  <c r="F230" i="26" s="1"/>
  <c r="G229" i="26"/>
  <c r="H229" i="26" s="1"/>
  <c r="E229" i="26"/>
  <c r="F229" i="26" s="1"/>
  <c r="G228" i="26"/>
  <c r="H228" i="26" s="1"/>
  <c r="E228" i="26"/>
  <c r="F228" i="26" s="1"/>
  <c r="G227" i="26"/>
  <c r="H227" i="26" s="1"/>
  <c r="E227" i="26"/>
  <c r="F227" i="26" s="1"/>
  <c r="G226" i="26"/>
  <c r="H226" i="26" s="1"/>
  <c r="E226" i="26"/>
  <c r="F226" i="26" s="1"/>
  <c r="G225" i="26"/>
  <c r="H225" i="26" s="1"/>
  <c r="E225" i="26"/>
  <c r="F225" i="26" s="1"/>
  <c r="G224" i="26"/>
  <c r="H224" i="26" s="1"/>
  <c r="E224" i="26"/>
  <c r="F224" i="26" s="1"/>
  <c r="G223" i="26"/>
  <c r="H223" i="26" s="1"/>
  <c r="E223" i="26"/>
  <c r="F223" i="26" s="1"/>
  <c r="G222" i="26"/>
  <c r="H222" i="26" s="1"/>
  <c r="E222" i="26"/>
  <c r="F222" i="26" s="1"/>
  <c r="G221" i="26"/>
  <c r="H221" i="26" s="1"/>
  <c r="E221" i="26"/>
  <c r="F221" i="26" s="1"/>
  <c r="G220" i="26"/>
  <c r="H220" i="26" s="1"/>
  <c r="E220" i="26"/>
  <c r="F220" i="26" s="1"/>
  <c r="G55" i="26"/>
  <c r="H55" i="26" s="1"/>
  <c r="E55" i="26"/>
  <c r="F55" i="26" s="1"/>
  <c r="G219" i="26"/>
  <c r="H219" i="26" s="1"/>
  <c r="E219" i="26"/>
  <c r="F219" i="26" s="1"/>
  <c r="G218" i="26"/>
  <c r="H218" i="26" s="1"/>
  <c r="E218" i="26"/>
  <c r="F218" i="26" s="1"/>
  <c r="G217" i="26"/>
  <c r="H217" i="26" s="1"/>
  <c r="E217" i="26"/>
  <c r="F217" i="26" s="1"/>
  <c r="G216" i="26"/>
  <c r="H216" i="26" s="1"/>
  <c r="E216" i="26"/>
  <c r="F216" i="26" s="1"/>
  <c r="G215" i="26"/>
  <c r="H215" i="26" s="1"/>
  <c r="E215" i="26"/>
  <c r="F215" i="26" s="1"/>
  <c r="G214" i="26"/>
  <c r="H214" i="26" s="1"/>
  <c r="E214" i="26"/>
  <c r="F214" i="26" s="1"/>
  <c r="G213" i="26"/>
  <c r="H213" i="26" s="1"/>
  <c r="E213" i="26"/>
  <c r="F213" i="26" s="1"/>
  <c r="G212" i="26"/>
  <c r="H212" i="26" s="1"/>
  <c r="E212" i="26"/>
  <c r="F212" i="26" s="1"/>
  <c r="G211" i="26"/>
  <c r="H211" i="26" s="1"/>
  <c r="E211" i="26"/>
  <c r="F211" i="26" s="1"/>
  <c r="G210" i="26"/>
  <c r="H210" i="26" s="1"/>
  <c r="E210" i="26"/>
  <c r="F210" i="26" s="1"/>
  <c r="G209" i="26"/>
  <c r="H209" i="26" s="1"/>
  <c r="E209" i="26"/>
  <c r="F209" i="26" s="1"/>
  <c r="G208" i="26"/>
  <c r="H208" i="26" s="1"/>
  <c r="E208" i="26"/>
  <c r="F208" i="26" s="1"/>
  <c r="G207" i="26"/>
  <c r="H207" i="26" s="1"/>
  <c r="E207" i="26"/>
  <c r="F207" i="26" s="1"/>
  <c r="G206" i="26"/>
  <c r="H206" i="26" s="1"/>
  <c r="E206" i="26"/>
  <c r="F206" i="26" s="1"/>
  <c r="G205" i="26"/>
  <c r="H205" i="26" s="1"/>
  <c r="E205" i="26"/>
  <c r="F205" i="26" s="1"/>
  <c r="G204" i="26"/>
  <c r="H204" i="26" s="1"/>
  <c r="E204" i="26"/>
  <c r="F204" i="26" s="1"/>
  <c r="G203" i="26"/>
  <c r="H203" i="26" s="1"/>
  <c r="E203" i="26"/>
  <c r="F203" i="26" s="1"/>
  <c r="G202" i="26"/>
  <c r="H202" i="26" s="1"/>
  <c r="E202" i="26"/>
  <c r="F202" i="26" s="1"/>
  <c r="G201" i="26"/>
  <c r="H201" i="26" s="1"/>
  <c r="E201" i="26"/>
  <c r="F201" i="26" s="1"/>
  <c r="G200" i="26"/>
  <c r="H200" i="26" s="1"/>
  <c r="E200" i="26"/>
  <c r="F200" i="26" s="1"/>
  <c r="G199" i="26"/>
  <c r="H199" i="26" s="1"/>
  <c r="E199" i="26"/>
  <c r="F199" i="26" s="1"/>
  <c r="G198" i="26"/>
  <c r="H198" i="26" s="1"/>
  <c r="E198" i="26"/>
  <c r="F198" i="26" s="1"/>
  <c r="G197" i="26"/>
  <c r="H197" i="26" s="1"/>
  <c r="E197" i="26"/>
  <c r="F197" i="26" s="1"/>
  <c r="G196" i="26"/>
  <c r="H196" i="26" s="1"/>
  <c r="E196" i="26"/>
  <c r="F196" i="26" s="1"/>
  <c r="G195" i="26"/>
  <c r="H195" i="26" s="1"/>
  <c r="E195" i="26"/>
  <c r="F195" i="26" s="1"/>
  <c r="G194" i="26"/>
  <c r="H194" i="26" s="1"/>
  <c r="E194" i="26"/>
  <c r="F194" i="26" s="1"/>
  <c r="G193" i="26"/>
  <c r="H193" i="26" s="1"/>
  <c r="E193" i="26"/>
  <c r="F193" i="26" s="1"/>
  <c r="G192" i="26"/>
  <c r="H192" i="26" s="1"/>
  <c r="E192" i="26"/>
  <c r="F192" i="26" s="1"/>
  <c r="G191" i="26"/>
  <c r="H191" i="26" s="1"/>
  <c r="E191" i="26"/>
  <c r="F191" i="26" s="1"/>
  <c r="G190" i="26"/>
  <c r="H190" i="26" s="1"/>
  <c r="E190" i="26"/>
  <c r="F190" i="26" s="1"/>
  <c r="G189" i="26"/>
  <c r="H189" i="26" s="1"/>
  <c r="E189" i="26"/>
  <c r="F189" i="26" s="1"/>
  <c r="G188" i="26"/>
  <c r="H188" i="26" s="1"/>
  <c r="E188" i="26"/>
  <c r="F188" i="26" s="1"/>
  <c r="G187" i="26"/>
  <c r="H187" i="26" s="1"/>
  <c r="E187" i="26"/>
  <c r="F187" i="26" s="1"/>
  <c r="G186" i="26"/>
  <c r="H186" i="26" s="1"/>
  <c r="E186" i="26"/>
  <c r="F186" i="26" s="1"/>
  <c r="G185" i="26"/>
  <c r="H185" i="26" s="1"/>
  <c r="E185" i="26"/>
  <c r="F185" i="26" s="1"/>
  <c r="G184" i="26"/>
  <c r="H184" i="26" s="1"/>
  <c r="E184" i="26"/>
  <c r="F184" i="26" s="1"/>
  <c r="G183" i="26"/>
  <c r="H183" i="26" s="1"/>
  <c r="E183" i="26"/>
  <c r="F183" i="26" s="1"/>
  <c r="G182" i="26"/>
  <c r="H182" i="26" s="1"/>
  <c r="E182" i="26"/>
  <c r="F182" i="26" s="1"/>
  <c r="G181" i="26"/>
  <c r="H181" i="26" s="1"/>
  <c r="E181" i="26"/>
  <c r="F181" i="26" s="1"/>
  <c r="G180" i="26"/>
  <c r="H180" i="26" s="1"/>
  <c r="E180" i="26"/>
  <c r="F180" i="26" s="1"/>
  <c r="G179" i="26"/>
  <c r="H179" i="26" s="1"/>
  <c r="E179" i="26"/>
  <c r="F179" i="26" s="1"/>
  <c r="G178" i="26"/>
  <c r="H178" i="26" s="1"/>
  <c r="E178" i="26"/>
  <c r="F178" i="26" s="1"/>
  <c r="G177" i="26"/>
  <c r="H177" i="26" s="1"/>
  <c r="E177" i="26"/>
  <c r="F177" i="26" s="1"/>
  <c r="G176" i="26"/>
  <c r="H176" i="26" s="1"/>
  <c r="E176" i="26"/>
  <c r="F176" i="26" s="1"/>
  <c r="G175" i="26"/>
  <c r="H175" i="26" s="1"/>
  <c r="E175" i="26"/>
  <c r="F175" i="26" s="1"/>
  <c r="G174" i="26"/>
  <c r="H174" i="26" s="1"/>
  <c r="E174" i="26"/>
  <c r="F174" i="26" s="1"/>
  <c r="G173" i="26"/>
  <c r="H173" i="26" s="1"/>
  <c r="E173" i="26"/>
  <c r="F173" i="26" s="1"/>
  <c r="G172" i="26"/>
  <c r="H172" i="26" s="1"/>
  <c r="E172" i="26"/>
  <c r="F172" i="26" s="1"/>
  <c r="G171" i="26"/>
  <c r="H171" i="26" s="1"/>
  <c r="E171" i="26"/>
  <c r="F171" i="26" s="1"/>
  <c r="G170" i="26"/>
  <c r="H170" i="26" s="1"/>
  <c r="E170" i="26"/>
  <c r="F170" i="26" s="1"/>
  <c r="G169" i="26"/>
  <c r="H169" i="26" s="1"/>
  <c r="E169" i="26"/>
  <c r="F169" i="26" s="1"/>
  <c r="G168" i="26"/>
  <c r="H168" i="26" s="1"/>
  <c r="E168" i="26"/>
  <c r="F168" i="26" s="1"/>
  <c r="G167" i="26"/>
  <c r="H167" i="26" s="1"/>
  <c r="E167" i="26"/>
  <c r="F167" i="26" s="1"/>
  <c r="G166" i="26"/>
  <c r="H166" i="26" s="1"/>
  <c r="E166" i="26"/>
  <c r="F166" i="26" s="1"/>
  <c r="G165" i="26"/>
  <c r="H165" i="26" s="1"/>
  <c r="E165" i="26"/>
  <c r="F165" i="26" s="1"/>
  <c r="G164" i="26"/>
  <c r="H164" i="26" s="1"/>
  <c r="E164" i="26"/>
  <c r="F164" i="26" s="1"/>
  <c r="G163" i="26"/>
  <c r="H163" i="26" s="1"/>
  <c r="E163" i="26"/>
  <c r="F163" i="26" s="1"/>
  <c r="G162" i="26"/>
  <c r="H162" i="26" s="1"/>
  <c r="E162" i="26"/>
  <c r="F162" i="26" s="1"/>
  <c r="G161" i="26"/>
  <c r="H161" i="26" s="1"/>
  <c r="E161" i="26"/>
  <c r="F161" i="26" s="1"/>
  <c r="G160" i="26"/>
  <c r="H160" i="26" s="1"/>
  <c r="E160" i="26"/>
  <c r="F160" i="26" s="1"/>
  <c r="G159" i="26"/>
  <c r="H159" i="26" s="1"/>
  <c r="E159" i="26"/>
  <c r="F159" i="26" s="1"/>
  <c r="G158" i="26"/>
  <c r="H158" i="26" s="1"/>
  <c r="E158" i="26"/>
  <c r="F158" i="26" s="1"/>
  <c r="G157" i="26"/>
  <c r="H157" i="26" s="1"/>
  <c r="E157" i="26"/>
  <c r="F157" i="26" s="1"/>
  <c r="G156" i="26"/>
  <c r="H156" i="26" s="1"/>
  <c r="E156" i="26"/>
  <c r="F156" i="26" s="1"/>
  <c r="G155" i="26"/>
  <c r="H155" i="26" s="1"/>
  <c r="E155" i="26"/>
  <c r="F155" i="26" s="1"/>
  <c r="G154" i="26"/>
  <c r="H154" i="26" s="1"/>
  <c r="E154" i="26"/>
  <c r="F154" i="26" s="1"/>
  <c r="G153" i="26"/>
  <c r="H153" i="26" s="1"/>
  <c r="E153" i="26"/>
  <c r="F153" i="26" s="1"/>
  <c r="G152" i="26"/>
  <c r="H152" i="26" s="1"/>
  <c r="E152" i="26"/>
  <c r="F152" i="26" s="1"/>
  <c r="G151" i="26"/>
  <c r="H151" i="26" s="1"/>
  <c r="E151" i="26"/>
  <c r="F151" i="26" s="1"/>
  <c r="G150" i="26"/>
  <c r="H150" i="26" s="1"/>
  <c r="E150" i="26"/>
  <c r="F150" i="26" s="1"/>
  <c r="G149" i="26"/>
  <c r="H149" i="26" s="1"/>
  <c r="E149" i="26"/>
  <c r="F149" i="26" s="1"/>
  <c r="G148" i="26"/>
  <c r="H148" i="26" s="1"/>
  <c r="E148" i="26"/>
  <c r="F148" i="26" s="1"/>
  <c r="G147" i="26"/>
  <c r="H147" i="26" s="1"/>
  <c r="E147" i="26"/>
  <c r="F147" i="26" s="1"/>
  <c r="G146" i="26"/>
  <c r="H146" i="26" s="1"/>
  <c r="E146" i="26"/>
  <c r="F146" i="26" s="1"/>
  <c r="G145" i="26"/>
  <c r="H145" i="26" s="1"/>
  <c r="E145" i="26"/>
  <c r="F145" i="26" s="1"/>
  <c r="G144" i="26"/>
  <c r="H144" i="26" s="1"/>
  <c r="E144" i="26"/>
  <c r="F144" i="26" s="1"/>
  <c r="G143" i="26"/>
  <c r="H143" i="26" s="1"/>
  <c r="E143" i="26"/>
  <c r="F143" i="26" s="1"/>
  <c r="G142" i="26"/>
  <c r="H142" i="26" s="1"/>
  <c r="E142" i="26"/>
  <c r="F142" i="26" s="1"/>
  <c r="G141" i="26"/>
  <c r="H141" i="26" s="1"/>
  <c r="E141" i="26"/>
  <c r="F141" i="26" s="1"/>
  <c r="G140" i="26"/>
  <c r="H140" i="26" s="1"/>
  <c r="E140" i="26"/>
  <c r="F140" i="26" s="1"/>
  <c r="G139" i="26"/>
  <c r="H139" i="26" s="1"/>
  <c r="E139" i="26"/>
  <c r="F139" i="26" s="1"/>
  <c r="G138" i="26"/>
  <c r="H138" i="26" s="1"/>
  <c r="E138" i="26"/>
  <c r="F138" i="26" s="1"/>
  <c r="G137" i="26"/>
  <c r="H137" i="26" s="1"/>
  <c r="E137" i="26"/>
  <c r="F137" i="26" s="1"/>
  <c r="G136" i="26"/>
  <c r="H136" i="26" s="1"/>
  <c r="E136" i="26"/>
  <c r="F136" i="26" s="1"/>
  <c r="G135" i="26"/>
  <c r="H135" i="26" s="1"/>
  <c r="E135" i="26"/>
  <c r="F135" i="26" s="1"/>
  <c r="G134" i="26"/>
  <c r="H134" i="26" s="1"/>
  <c r="E134" i="26"/>
  <c r="F134" i="26" s="1"/>
  <c r="G133" i="26"/>
  <c r="H133" i="26" s="1"/>
  <c r="E133" i="26"/>
  <c r="F133" i="26" s="1"/>
  <c r="G132" i="26"/>
  <c r="H132" i="26" s="1"/>
  <c r="E132" i="26"/>
  <c r="F132" i="26" s="1"/>
  <c r="G131" i="26"/>
  <c r="H131" i="26" s="1"/>
  <c r="E131" i="26"/>
  <c r="F131" i="26" s="1"/>
  <c r="G130" i="26"/>
  <c r="H130" i="26" s="1"/>
  <c r="E130" i="26"/>
  <c r="F130" i="26" s="1"/>
  <c r="G129" i="26"/>
  <c r="H129" i="26" s="1"/>
  <c r="E129" i="26"/>
  <c r="F129" i="26" s="1"/>
  <c r="G128" i="26"/>
  <c r="H128" i="26" s="1"/>
  <c r="E128" i="26"/>
  <c r="F128" i="26" s="1"/>
  <c r="G127" i="26"/>
  <c r="H127" i="26" s="1"/>
  <c r="E127" i="26"/>
  <c r="F127" i="26" s="1"/>
  <c r="G126" i="26"/>
  <c r="H126" i="26" s="1"/>
  <c r="E126" i="26"/>
  <c r="F126" i="26" s="1"/>
  <c r="G125" i="26"/>
  <c r="H125" i="26" s="1"/>
  <c r="E125" i="26"/>
  <c r="F125" i="26" s="1"/>
  <c r="G124" i="26"/>
  <c r="H124" i="26" s="1"/>
  <c r="E124" i="26"/>
  <c r="F124" i="26" s="1"/>
  <c r="G123" i="26"/>
  <c r="H123" i="26" s="1"/>
  <c r="E123" i="26"/>
  <c r="F123" i="26" s="1"/>
  <c r="G122" i="26"/>
  <c r="H122" i="26" s="1"/>
  <c r="E122" i="26"/>
  <c r="F122" i="26" s="1"/>
  <c r="G121" i="26"/>
  <c r="H121" i="26" s="1"/>
  <c r="E121" i="26"/>
  <c r="F121" i="26" s="1"/>
  <c r="G120" i="26"/>
  <c r="H120" i="26" s="1"/>
  <c r="E120" i="26"/>
  <c r="F120" i="26" s="1"/>
  <c r="G119" i="26"/>
  <c r="H119" i="26" s="1"/>
  <c r="E119" i="26"/>
  <c r="F119" i="26" s="1"/>
  <c r="G118" i="26"/>
  <c r="H118" i="26" s="1"/>
  <c r="E118" i="26"/>
  <c r="F118" i="26" s="1"/>
  <c r="G117" i="26"/>
  <c r="H117" i="26" s="1"/>
  <c r="E117" i="26"/>
  <c r="F117" i="26" s="1"/>
  <c r="G116" i="26"/>
  <c r="H116" i="26" s="1"/>
  <c r="E116" i="26"/>
  <c r="F116" i="26" s="1"/>
  <c r="G115" i="26"/>
  <c r="H115" i="26" s="1"/>
  <c r="E115" i="26"/>
  <c r="F115" i="26" s="1"/>
  <c r="G114" i="26"/>
  <c r="H114" i="26" s="1"/>
  <c r="E114" i="26"/>
  <c r="F114" i="26" s="1"/>
  <c r="G113" i="26"/>
  <c r="H113" i="26" s="1"/>
  <c r="E113" i="26"/>
  <c r="F113" i="26" s="1"/>
  <c r="G112" i="26"/>
  <c r="H112" i="26" s="1"/>
  <c r="E112" i="26"/>
  <c r="F112" i="26" s="1"/>
  <c r="G111" i="26"/>
  <c r="H111" i="26" s="1"/>
  <c r="E111" i="26"/>
  <c r="F111" i="26" s="1"/>
  <c r="G110" i="26"/>
  <c r="H110" i="26" s="1"/>
  <c r="E110" i="26"/>
  <c r="F110" i="26" s="1"/>
  <c r="G109" i="26"/>
  <c r="H109" i="26" s="1"/>
  <c r="E109" i="26"/>
  <c r="F109" i="26" s="1"/>
  <c r="G108" i="26"/>
  <c r="H108" i="26" s="1"/>
  <c r="E108" i="26"/>
  <c r="F108" i="26" s="1"/>
  <c r="G107" i="26"/>
  <c r="H107" i="26" s="1"/>
  <c r="E107" i="26"/>
  <c r="F107" i="26" s="1"/>
  <c r="G106" i="26"/>
  <c r="H106" i="26" s="1"/>
  <c r="E106" i="26"/>
  <c r="F106" i="26" s="1"/>
  <c r="G105" i="26"/>
  <c r="H105" i="26" s="1"/>
  <c r="E105" i="26"/>
  <c r="F105" i="26" s="1"/>
  <c r="G104" i="26"/>
  <c r="H104" i="26" s="1"/>
  <c r="E104" i="26"/>
  <c r="F104" i="26" s="1"/>
  <c r="G103" i="26"/>
  <c r="H103" i="26" s="1"/>
  <c r="E103" i="26"/>
  <c r="F103" i="26" s="1"/>
  <c r="G102" i="26"/>
  <c r="H102" i="26" s="1"/>
  <c r="E102" i="26"/>
  <c r="F102" i="26" s="1"/>
  <c r="G101" i="26"/>
  <c r="H101" i="26" s="1"/>
  <c r="E101" i="26"/>
  <c r="F101" i="26" s="1"/>
  <c r="G100" i="26"/>
  <c r="H100" i="26" s="1"/>
  <c r="E100" i="26"/>
  <c r="F100" i="26" s="1"/>
  <c r="G99" i="26"/>
  <c r="H99" i="26" s="1"/>
  <c r="E99" i="26"/>
  <c r="F99" i="26" s="1"/>
  <c r="G98" i="26"/>
  <c r="H98" i="26" s="1"/>
  <c r="E98" i="26"/>
  <c r="F98" i="26" s="1"/>
  <c r="G97" i="26"/>
  <c r="H97" i="26" s="1"/>
  <c r="E97" i="26"/>
  <c r="F97" i="26" s="1"/>
  <c r="G96" i="26"/>
  <c r="H96" i="26" s="1"/>
  <c r="E96" i="26"/>
  <c r="F96" i="26" s="1"/>
  <c r="G95" i="26"/>
  <c r="H95" i="26" s="1"/>
  <c r="E95" i="26"/>
  <c r="F95" i="26" s="1"/>
  <c r="G94" i="26"/>
  <c r="H94" i="26" s="1"/>
  <c r="E94" i="26"/>
  <c r="F94" i="26" s="1"/>
  <c r="G93" i="26"/>
  <c r="H93" i="26" s="1"/>
  <c r="E93" i="26"/>
  <c r="F93" i="26" s="1"/>
  <c r="G92" i="26"/>
  <c r="H92" i="26" s="1"/>
  <c r="E92" i="26"/>
  <c r="F92" i="26" s="1"/>
  <c r="G91" i="26"/>
  <c r="H91" i="26" s="1"/>
  <c r="E91" i="26"/>
  <c r="F91" i="26" s="1"/>
  <c r="G90" i="26"/>
  <c r="H90" i="26" s="1"/>
  <c r="E90" i="26"/>
  <c r="F90" i="26" s="1"/>
  <c r="G89" i="26"/>
  <c r="H89" i="26" s="1"/>
  <c r="E89" i="26"/>
  <c r="F89" i="26" s="1"/>
  <c r="G88" i="26"/>
  <c r="H88" i="26" s="1"/>
  <c r="E88" i="26"/>
  <c r="F88" i="26" s="1"/>
  <c r="G87" i="26"/>
  <c r="H87" i="26" s="1"/>
  <c r="E87" i="26"/>
  <c r="F87" i="26" s="1"/>
  <c r="G86" i="26"/>
  <c r="H86" i="26" s="1"/>
  <c r="E86" i="26"/>
  <c r="F86" i="26" s="1"/>
  <c r="G85" i="26"/>
  <c r="H85" i="26" s="1"/>
  <c r="E85" i="26"/>
  <c r="F85" i="26" s="1"/>
  <c r="G84" i="26"/>
  <c r="H84" i="26" s="1"/>
  <c r="E84" i="26"/>
  <c r="F84" i="26" s="1"/>
  <c r="G83" i="26"/>
  <c r="H83" i="26" s="1"/>
  <c r="E83" i="26"/>
  <c r="F83" i="26" s="1"/>
  <c r="G82" i="26"/>
  <c r="H82" i="26" s="1"/>
  <c r="E82" i="26"/>
  <c r="F82" i="26" s="1"/>
  <c r="G81" i="26"/>
  <c r="H81" i="26" s="1"/>
  <c r="E81" i="26"/>
  <c r="F81" i="26" s="1"/>
  <c r="G80" i="26"/>
  <c r="H80" i="26" s="1"/>
  <c r="E80" i="26"/>
  <c r="F80" i="26" s="1"/>
  <c r="G79" i="26"/>
  <c r="H79" i="26" s="1"/>
  <c r="E79" i="26"/>
  <c r="F79" i="26" s="1"/>
  <c r="G78" i="26"/>
  <c r="H78" i="26" s="1"/>
  <c r="E78" i="26"/>
  <c r="F78" i="26" s="1"/>
  <c r="G77" i="26"/>
  <c r="H77" i="26" s="1"/>
  <c r="E77" i="26"/>
  <c r="F77" i="26" s="1"/>
  <c r="G76" i="26"/>
  <c r="H76" i="26" s="1"/>
  <c r="E76" i="26"/>
  <c r="F76" i="26" s="1"/>
  <c r="G75" i="26"/>
  <c r="H75" i="26" s="1"/>
  <c r="E75" i="26"/>
  <c r="F75" i="26" s="1"/>
  <c r="G74" i="26"/>
  <c r="H74" i="26" s="1"/>
  <c r="E74" i="26"/>
  <c r="F74" i="26" s="1"/>
  <c r="G73" i="26"/>
  <c r="H73" i="26" s="1"/>
  <c r="E73" i="26"/>
  <c r="F73" i="26" s="1"/>
  <c r="G72" i="26"/>
  <c r="H72" i="26" s="1"/>
  <c r="E72" i="26"/>
  <c r="F72" i="26" s="1"/>
  <c r="G71" i="26"/>
  <c r="H71" i="26" s="1"/>
  <c r="E71" i="26"/>
  <c r="F71" i="26" s="1"/>
  <c r="G70" i="26"/>
  <c r="H70" i="26" s="1"/>
  <c r="E70" i="26"/>
  <c r="F70" i="26" s="1"/>
  <c r="G69" i="26"/>
  <c r="H69" i="26" s="1"/>
  <c r="E69" i="26"/>
  <c r="F69" i="26" s="1"/>
  <c r="G68" i="26"/>
  <c r="H68" i="26" s="1"/>
  <c r="E68" i="26"/>
  <c r="F68" i="26" s="1"/>
  <c r="G67" i="26"/>
  <c r="H67" i="26" s="1"/>
  <c r="E67" i="26"/>
  <c r="F67" i="26" s="1"/>
  <c r="G66" i="26"/>
  <c r="H66" i="26" s="1"/>
  <c r="E66" i="26"/>
  <c r="F66" i="26" s="1"/>
  <c r="G65" i="26"/>
  <c r="H65" i="26" s="1"/>
  <c r="E65" i="26"/>
  <c r="F65" i="26" s="1"/>
  <c r="G64" i="26"/>
  <c r="H64" i="26" s="1"/>
  <c r="E64" i="26"/>
  <c r="F64" i="26" s="1"/>
  <c r="G63" i="26"/>
  <c r="H63" i="26" s="1"/>
  <c r="E63" i="26"/>
  <c r="F63" i="26" s="1"/>
  <c r="G62" i="26"/>
  <c r="H62" i="26" s="1"/>
  <c r="E62" i="26"/>
  <c r="F62" i="26" s="1"/>
  <c r="G61" i="26"/>
  <c r="H61" i="26" s="1"/>
  <c r="E61" i="26"/>
  <c r="F61" i="26" s="1"/>
  <c r="G60" i="26"/>
  <c r="H60" i="26" s="1"/>
  <c r="E60" i="26"/>
  <c r="F60" i="26" s="1"/>
  <c r="G59" i="26"/>
  <c r="H59" i="26" s="1"/>
  <c r="E59" i="26"/>
  <c r="F59" i="26" s="1"/>
  <c r="G58" i="26"/>
  <c r="H58" i="26" s="1"/>
  <c r="E58" i="26"/>
  <c r="F58" i="26" s="1"/>
  <c r="G57" i="26"/>
  <c r="H57" i="26" s="1"/>
  <c r="E57" i="26"/>
  <c r="F57" i="26" s="1"/>
  <c r="G56" i="26"/>
  <c r="H56" i="26" s="1"/>
  <c r="E56" i="26"/>
  <c r="F56" i="26" s="1"/>
  <c r="G54" i="26"/>
  <c r="H54" i="26" s="1"/>
  <c r="E54" i="26"/>
  <c r="F54" i="26" s="1"/>
  <c r="G53" i="26"/>
  <c r="H53" i="26" s="1"/>
  <c r="E53" i="26"/>
  <c r="F53" i="26" s="1"/>
  <c r="G52" i="26"/>
  <c r="H52" i="26" s="1"/>
  <c r="E52" i="26"/>
  <c r="F52" i="26" s="1"/>
  <c r="G51" i="26"/>
  <c r="H51" i="26" s="1"/>
  <c r="E51" i="26"/>
  <c r="F51" i="26" s="1"/>
  <c r="G50" i="26"/>
  <c r="H50" i="26" s="1"/>
  <c r="E50" i="26"/>
  <c r="F50" i="26" s="1"/>
  <c r="G49" i="26"/>
  <c r="H49" i="26" s="1"/>
  <c r="E49" i="26"/>
  <c r="F49" i="26" s="1"/>
  <c r="G48" i="26"/>
  <c r="H48" i="26" s="1"/>
  <c r="E48" i="26"/>
  <c r="F48" i="26" s="1"/>
  <c r="G47" i="26"/>
  <c r="H47" i="26" s="1"/>
  <c r="E47" i="26"/>
  <c r="F47" i="26" s="1"/>
  <c r="G46" i="26"/>
  <c r="H46" i="26" s="1"/>
  <c r="E46" i="26"/>
  <c r="F46" i="26" s="1"/>
  <c r="G45" i="26"/>
  <c r="H45" i="26" s="1"/>
  <c r="E45" i="26"/>
  <c r="F45" i="26" s="1"/>
  <c r="G44" i="26"/>
  <c r="H44" i="26" s="1"/>
  <c r="E44" i="26"/>
  <c r="F44" i="26" s="1"/>
  <c r="G43" i="26"/>
  <c r="H43" i="26" s="1"/>
  <c r="E43" i="26"/>
  <c r="F43" i="26" s="1"/>
  <c r="G42" i="26"/>
  <c r="H42" i="26" s="1"/>
  <c r="E42" i="26"/>
  <c r="F42" i="26" s="1"/>
  <c r="G41" i="26"/>
  <c r="H41" i="26" s="1"/>
  <c r="E41" i="26"/>
  <c r="F41" i="26" s="1"/>
  <c r="G40" i="26"/>
  <c r="H40" i="26" s="1"/>
  <c r="E40" i="26"/>
  <c r="F40" i="26" s="1"/>
  <c r="G39" i="26"/>
  <c r="H39" i="26" s="1"/>
  <c r="E39" i="26"/>
  <c r="F39" i="26" s="1"/>
  <c r="G38" i="26"/>
  <c r="H38" i="26" s="1"/>
  <c r="E38" i="26"/>
  <c r="F38" i="26" s="1"/>
  <c r="G37" i="26"/>
  <c r="H37" i="26" s="1"/>
  <c r="E37" i="26"/>
  <c r="F37" i="26" s="1"/>
  <c r="G36" i="26"/>
  <c r="H36" i="26" s="1"/>
  <c r="E36" i="26"/>
  <c r="F36" i="26" s="1"/>
  <c r="G35" i="26"/>
  <c r="H35" i="26" s="1"/>
  <c r="E35" i="26"/>
  <c r="F35" i="26" s="1"/>
  <c r="G34" i="26"/>
  <c r="H34" i="26" s="1"/>
  <c r="E34" i="26"/>
  <c r="F34" i="26" s="1"/>
  <c r="G33" i="26"/>
  <c r="H33" i="26" s="1"/>
  <c r="E33" i="26"/>
  <c r="F33" i="26" s="1"/>
  <c r="G32" i="26"/>
  <c r="H32" i="26" s="1"/>
  <c r="E32" i="26"/>
  <c r="F32" i="26" s="1"/>
  <c r="G31" i="26"/>
  <c r="H31" i="26" s="1"/>
  <c r="E31" i="26"/>
  <c r="F31" i="26" s="1"/>
  <c r="G30" i="26"/>
  <c r="H30" i="26" s="1"/>
  <c r="E30" i="26"/>
  <c r="F30" i="26" s="1"/>
  <c r="G29" i="26"/>
  <c r="H29" i="26" s="1"/>
  <c r="E29" i="26"/>
  <c r="F29" i="26" s="1"/>
  <c r="G28" i="26"/>
  <c r="H28" i="26" s="1"/>
  <c r="E28" i="26"/>
  <c r="F28" i="26" s="1"/>
  <c r="G27" i="26"/>
  <c r="H27" i="26" s="1"/>
  <c r="E27" i="26"/>
  <c r="F27" i="26" s="1"/>
  <c r="G26" i="26"/>
  <c r="H26" i="26" s="1"/>
  <c r="E26" i="26"/>
  <c r="F26" i="26" s="1"/>
  <c r="G25" i="26"/>
  <c r="H25" i="26" s="1"/>
  <c r="E25" i="26"/>
  <c r="F25" i="26" s="1"/>
  <c r="G24" i="26"/>
  <c r="H24" i="26" s="1"/>
  <c r="E24" i="26"/>
  <c r="F24" i="26" s="1"/>
  <c r="G23" i="26"/>
  <c r="H23" i="26" s="1"/>
  <c r="E23" i="26"/>
  <c r="F23" i="26" s="1"/>
  <c r="G22" i="26"/>
  <c r="H22" i="26" s="1"/>
  <c r="E22" i="26"/>
  <c r="F22" i="26" s="1"/>
  <c r="G21" i="26"/>
  <c r="H21" i="26" s="1"/>
  <c r="E21" i="26"/>
  <c r="F21" i="26" s="1"/>
  <c r="G20" i="26"/>
  <c r="H20" i="26" s="1"/>
  <c r="E20" i="26"/>
  <c r="F20" i="26" s="1"/>
  <c r="G19" i="26"/>
  <c r="H19" i="26" s="1"/>
  <c r="E19" i="26"/>
  <c r="F19" i="26" s="1"/>
  <c r="G18" i="26"/>
  <c r="H18" i="26" s="1"/>
  <c r="E18" i="26"/>
  <c r="F18" i="26" s="1"/>
  <c r="G17" i="26"/>
  <c r="H17" i="26" s="1"/>
  <c r="E17" i="26"/>
  <c r="F17" i="26" s="1"/>
  <c r="G16" i="26"/>
  <c r="H16" i="26" s="1"/>
  <c r="E16" i="26"/>
  <c r="F16" i="26" s="1"/>
  <c r="G15" i="26"/>
  <c r="H15" i="26" s="1"/>
  <c r="E15" i="26"/>
  <c r="F15" i="26" s="1"/>
  <c r="G14" i="26"/>
  <c r="H14" i="26" s="1"/>
  <c r="E14" i="26"/>
  <c r="F14" i="26" s="1"/>
  <c r="G13" i="26"/>
  <c r="H13" i="26" s="1"/>
  <c r="E13" i="26"/>
  <c r="F13" i="26" s="1"/>
  <c r="G12" i="26"/>
  <c r="H12" i="26" s="1"/>
  <c r="E12" i="26"/>
  <c r="F12" i="26" s="1"/>
  <c r="G11" i="26"/>
  <c r="H11" i="26" s="1"/>
  <c r="E11" i="26"/>
  <c r="F11" i="26" s="1"/>
  <c r="G10" i="26"/>
  <c r="H10" i="26" s="1"/>
  <c r="E10" i="26"/>
  <c r="F10" i="26" s="1"/>
  <c r="G9" i="26"/>
  <c r="H9" i="26" s="1"/>
  <c r="E9" i="26"/>
  <c r="F9" i="26" s="1"/>
  <c r="G8" i="26"/>
  <c r="H8" i="26" s="1"/>
  <c r="E8" i="26"/>
  <c r="F8" i="26" s="1"/>
  <c r="G7" i="26"/>
  <c r="H7" i="26" s="1"/>
  <c r="E7" i="26"/>
  <c r="F7" i="26" s="1"/>
  <c r="H6" i="26"/>
  <c r="A1" i="2" l="1"/>
  <c r="N7" i="18" l="1"/>
  <c r="O7" i="18" s="1"/>
  <c r="N8" i="18"/>
  <c r="O8" i="18" s="1"/>
  <c r="N9" i="18"/>
  <c r="O9" i="18" s="1"/>
  <c r="N10" i="18"/>
  <c r="O10" i="18" s="1"/>
  <c r="N11" i="18"/>
  <c r="O11" i="18" s="1"/>
  <c r="N12" i="18"/>
  <c r="O12" i="18" s="1"/>
  <c r="N13" i="18"/>
  <c r="O13" i="18" s="1"/>
  <c r="N14" i="18"/>
  <c r="O14" i="18" s="1"/>
  <c r="N15" i="18"/>
  <c r="O15" i="18" s="1"/>
  <c r="N16" i="18"/>
  <c r="O16" i="18" s="1"/>
  <c r="N17" i="18"/>
  <c r="O17" i="18" s="1"/>
  <c r="N18" i="18"/>
  <c r="O18" i="18" s="1"/>
  <c r="N19" i="18"/>
  <c r="O19" i="18" s="1"/>
  <c r="N20" i="18"/>
  <c r="O20" i="18" s="1"/>
  <c r="N21" i="18"/>
  <c r="O21" i="18" s="1"/>
  <c r="N22" i="18"/>
  <c r="O22" i="18" s="1"/>
  <c r="N23" i="18"/>
  <c r="O23" i="18" s="1"/>
  <c r="N6" i="18"/>
  <c r="O6" i="18" s="1"/>
  <c r="L7" i="18"/>
  <c r="M7" i="18" s="1"/>
  <c r="L8" i="18"/>
  <c r="M8" i="18" s="1"/>
  <c r="L9" i="18"/>
  <c r="M9" i="18" s="1"/>
  <c r="L10" i="18"/>
  <c r="M10" i="18" s="1"/>
  <c r="L11" i="18"/>
  <c r="M11" i="18" s="1"/>
  <c r="L12" i="18"/>
  <c r="M12" i="18" s="1"/>
  <c r="L13" i="18"/>
  <c r="M13" i="18" s="1"/>
  <c r="L14" i="18"/>
  <c r="M14" i="18" s="1"/>
  <c r="L15" i="18"/>
  <c r="M15" i="18" s="1"/>
  <c r="L16" i="18"/>
  <c r="M16" i="18" s="1"/>
  <c r="L17" i="18"/>
  <c r="M17" i="18" s="1"/>
  <c r="L18" i="18"/>
  <c r="M18" i="18" s="1"/>
  <c r="L19" i="18"/>
  <c r="M19" i="18" s="1"/>
  <c r="L20" i="18"/>
  <c r="M20" i="18" s="1"/>
  <c r="L21" i="18"/>
  <c r="M21" i="18" s="1"/>
  <c r="L22" i="18"/>
  <c r="M22" i="18" s="1"/>
  <c r="L23" i="18"/>
  <c r="M23" i="18" s="1"/>
  <c r="L6" i="18"/>
  <c r="M6" i="18" s="1"/>
  <c r="J7" i="18"/>
  <c r="K7" i="18" s="1"/>
  <c r="J8" i="18"/>
  <c r="K8" i="18" s="1"/>
  <c r="J9" i="18"/>
  <c r="K9" i="18" s="1"/>
  <c r="J10" i="18"/>
  <c r="K10" i="18" s="1"/>
  <c r="J11" i="18"/>
  <c r="K11" i="18" s="1"/>
  <c r="J12" i="18"/>
  <c r="K12" i="18" s="1"/>
  <c r="J13" i="18"/>
  <c r="K13" i="18" s="1"/>
  <c r="J14" i="18"/>
  <c r="K14" i="18" s="1"/>
  <c r="J15" i="18"/>
  <c r="K15" i="18" s="1"/>
  <c r="J16" i="18"/>
  <c r="K16" i="18" s="1"/>
  <c r="J17" i="18"/>
  <c r="K17" i="18" s="1"/>
  <c r="J18" i="18"/>
  <c r="K18" i="18" s="1"/>
  <c r="J19" i="18"/>
  <c r="K19" i="18" s="1"/>
  <c r="J20" i="18"/>
  <c r="K20" i="18" s="1"/>
  <c r="J21" i="18"/>
  <c r="K21" i="18" s="1"/>
  <c r="J22" i="18"/>
  <c r="K22" i="18" s="1"/>
  <c r="J23" i="18"/>
  <c r="K23" i="18" s="1"/>
  <c r="J6" i="18"/>
  <c r="K6" i="18" s="1"/>
  <c r="H7" i="18"/>
  <c r="I7" i="18" s="1"/>
  <c r="H8" i="18"/>
  <c r="I8" i="18" s="1"/>
  <c r="H9" i="18"/>
  <c r="I9" i="18" s="1"/>
  <c r="H10" i="18"/>
  <c r="I10" i="18" s="1"/>
  <c r="H11" i="18"/>
  <c r="I11" i="18" s="1"/>
  <c r="H12" i="18"/>
  <c r="I12" i="18" s="1"/>
  <c r="H13" i="18"/>
  <c r="I13" i="18" s="1"/>
  <c r="H14" i="18"/>
  <c r="I14" i="18" s="1"/>
  <c r="H15" i="18"/>
  <c r="I15" i="18" s="1"/>
  <c r="H16" i="18"/>
  <c r="I16" i="18" s="1"/>
  <c r="H17" i="18"/>
  <c r="I17" i="18" s="1"/>
  <c r="H18" i="18"/>
  <c r="I18" i="18" s="1"/>
  <c r="H19" i="18"/>
  <c r="I19" i="18" s="1"/>
  <c r="H20" i="18"/>
  <c r="I20" i="18" s="1"/>
  <c r="H21" i="18"/>
  <c r="I21" i="18" s="1"/>
  <c r="H22" i="18"/>
  <c r="I22" i="18" s="1"/>
  <c r="H23" i="18"/>
  <c r="I23" i="18" s="1"/>
  <c r="H6" i="18"/>
  <c r="I6" i="18" s="1"/>
  <c r="F7" i="18"/>
  <c r="G7" i="18" s="1"/>
  <c r="F8" i="18"/>
  <c r="G8" i="18" s="1"/>
  <c r="F9" i="18"/>
  <c r="G9" i="18" s="1"/>
  <c r="F10" i="18"/>
  <c r="G10" i="18" s="1"/>
  <c r="F11" i="18"/>
  <c r="G11" i="18" s="1"/>
  <c r="F12" i="18"/>
  <c r="G12" i="18" s="1"/>
  <c r="F13" i="18"/>
  <c r="G13" i="18" s="1"/>
  <c r="F14" i="18"/>
  <c r="G14" i="18" s="1"/>
  <c r="F15" i="18"/>
  <c r="G15" i="18" s="1"/>
  <c r="F16" i="18"/>
  <c r="G16" i="18" s="1"/>
  <c r="F17" i="18"/>
  <c r="G17" i="18" s="1"/>
  <c r="F18" i="18"/>
  <c r="G18" i="18" s="1"/>
  <c r="F19" i="18"/>
  <c r="G19" i="18" s="1"/>
  <c r="F20" i="18"/>
  <c r="G20" i="18" s="1"/>
  <c r="F21" i="18"/>
  <c r="G21" i="18" s="1"/>
  <c r="F22" i="18"/>
  <c r="G22" i="18" s="1"/>
  <c r="F23" i="18"/>
  <c r="G23" i="18" s="1"/>
  <c r="F6" i="18"/>
  <c r="G6" i="18" s="1"/>
  <c r="D7" i="18"/>
  <c r="E7" i="18" s="1"/>
  <c r="D8" i="18"/>
  <c r="E8" i="18" s="1"/>
  <c r="D9" i="18"/>
  <c r="E9" i="18" s="1"/>
  <c r="D10" i="18"/>
  <c r="E10" i="18" s="1"/>
  <c r="D11" i="18"/>
  <c r="E11" i="18" s="1"/>
  <c r="D12" i="18"/>
  <c r="E12" i="18" s="1"/>
  <c r="D13" i="18"/>
  <c r="E13" i="18" s="1"/>
  <c r="D14" i="18"/>
  <c r="E14" i="18" s="1"/>
  <c r="D15" i="18"/>
  <c r="E15" i="18" s="1"/>
  <c r="D16" i="18"/>
  <c r="E16" i="18" s="1"/>
  <c r="D17" i="18"/>
  <c r="E17" i="18" s="1"/>
  <c r="D18" i="18"/>
  <c r="E18" i="18" s="1"/>
  <c r="D19" i="18"/>
  <c r="E19" i="18" s="1"/>
  <c r="D20" i="18"/>
  <c r="E20" i="18" s="1"/>
  <c r="D21" i="18"/>
  <c r="E21" i="18" s="1"/>
  <c r="D22" i="18"/>
  <c r="E22" i="18" s="1"/>
  <c r="D23" i="18"/>
  <c r="E23" i="18" s="1"/>
  <c r="D6" i="18"/>
  <c r="E6" i="18" s="1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6" i="10"/>
  <c r="A1" i="20" l="1"/>
  <c r="A1" i="8"/>
  <c r="A1" i="17"/>
  <c r="A1" i="4"/>
  <c r="O23" i="10" l="1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</calcChain>
</file>

<file path=xl/sharedStrings.xml><?xml version="1.0" encoding="utf-8"?>
<sst xmlns="http://schemas.openxmlformats.org/spreadsheetml/2006/main" count="4255" uniqueCount="1562">
  <si>
    <t>합계</t>
    <phoneticPr fontId="3" type="noConversion"/>
  </si>
  <si>
    <t>서울특별시</t>
    <phoneticPr fontId="4" type="noConversion"/>
  </si>
  <si>
    <t>부산광역시</t>
    <phoneticPr fontId="4" type="noConversion"/>
  </si>
  <si>
    <t>대구광역시</t>
    <phoneticPr fontId="4" type="noConversion"/>
  </si>
  <si>
    <t>인천광역시</t>
    <phoneticPr fontId="4" type="noConversion"/>
  </si>
  <si>
    <t>광주광역시</t>
    <phoneticPr fontId="4" type="noConversion"/>
  </si>
  <si>
    <t>대전광역시</t>
    <phoneticPr fontId="4" type="noConversion"/>
  </si>
  <si>
    <t>울산광역시</t>
    <phoneticPr fontId="4" type="noConversion"/>
  </si>
  <si>
    <t>경기도</t>
    <phoneticPr fontId="4" type="noConversion"/>
  </si>
  <si>
    <t>충청북도</t>
    <phoneticPr fontId="4" type="noConversion"/>
  </si>
  <si>
    <t>충청남도</t>
    <phoneticPr fontId="4" type="noConversion"/>
  </si>
  <si>
    <t>전라남도</t>
    <phoneticPr fontId="4" type="noConversion"/>
  </si>
  <si>
    <t>경상북도</t>
    <phoneticPr fontId="4" type="noConversion"/>
  </si>
  <si>
    <t>경상남도</t>
    <phoneticPr fontId="4" type="noConversion"/>
  </si>
  <si>
    <t>제주특별자치도</t>
    <phoneticPr fontId="4" type="noConversion"/>
  </si>
  <si>
    <t>시도</t>
    <phoneticPr fontId="3" type="noConversion"/>
  </si>
  <si>
    <t>MGM_BLDRGST_PK</t>
  </si>
  <si>
    <t>SIGUNGU_CD</t>
  </si>
  <si>
    <t>F_PLAT_PLC_PRT(X01.SIGUNGU_CD,X01.BJDONG_CD,X01.PLAT_GB_CD,X01.BUN,X01.JI,X01.SPLOT_NM,X01.BLOCK,X01.LOT)</t>
  </si>
  <si>
    <t>BLD_NM</t>
  </si>
  <si>
    <t>DONG_NM</t>
  </si>
  <si>
    <t>GRND_FLR_CNT</t>
  </si>
  <si>
    <t>11680-2345</t>
  </si>
  <si>
    <t>서울특별시 강남구 도곡동 467-29번지</t>
  </si>
  <si>
    <t>타워팰리스</t>
  </si>
  <si>
    <t>지동</t>
  </si>
  <si>
    <t>11470-8842</t>
  </si>
  <si>
    <t>서울특별시 양천구 목동 916번지</t>
  </si>
  <si>
    <t>현대하이페리온</t>
  </si>
  <si>
    <t>11680-2201</t>
  </si>
  <si>
    <t>서울특별시 강남구 도곡동 467번지</t>
  </si>
  <si>
    <t>비동</t>
  </si>
  <si>
    <t>11560-100190515</t>
  </si>
  <si>
    <t>서울특별시 영등포구 여의도동 60번지</t>
  </si>
  <si>
    <t>한화금융센터_63</t>
  </si>
  <si>
    <t>11680-2200</t>
  </si>
  <si>
    <t>씨동</t>
  </si>
  <si>
    <t>11680-2202</t>
  </si>
  <si>
    <t>에이동</t>
  </si>
  <si>
    <t>11215-20199</t>
  </si>
  <si>
    <t>서울특별시 광진구 자양동 227-7번지</t>
  </si>
  <si>
    <t>더샵스타시티</t>
  </si>
  <si>
    <t>A동</t>
  </si>
  <si>
    <t>11680-2210</t>
  </si>
  <si>
    <t>서울특별시 강남구 도곡동 467-17번지</t>
  </si>
  <si>
    <t>에프동</t>
  </si>
  <si>
    <t>11680-2211</t>
  </si>
  <si>
    <t>이동</t>
  </si>
  <si>
    <t>11680-22357</t>
  </si>
  <si>
    <t>서울특별시 강남구 삼성동 159번지</t>
  </si>
  <si>
    <t>무역회관</t>
  </si>
  <si>
    <t>11680-2508</t>
  </si>
  <si>
    <t>서울특별시 강남구 도곡동 467-7번지</t>
  </si>
  <si>
    <t>아카데미스위트</t>
  </si>
  <si>
    <t>11530-100194390</t>
  </si>
  <si>
    <t>서울특별시 구로구 신도림동 692번지</t>
  </si>
  <si>
    <t>디큐브시티</t>
  </si>
  <si>
    <t>아파트동</t>
  </si>
  <si>
    <t>11215-20200</t>
  </si>
  <si>
    <t>C동</t>
  </si>
  <si>
    <t>11215-100185549</t>
  </si>
  <si>
    <t>서울특별시 광진구 자양동 227-342번지</t>
  </si>
  <si>
    <t>더 클래식500</t>
  </si>
  <si>
    <t>노유자시설동</t>
  </si>
  <si>
    <t>11470-100184978</t>
  </si>
  <si>
    <t>서울특별시 양천구 목동 962번지</t>
  </si>
  <si>
    <t>목동트라팰리스 웨스턴에비뉴</t>
  </si>
  <si>
    <t>11590-25074</t>
  </si>
  <si>
    <t>서울특별시 동작구 신대방동 395-66번지</t>
  </si>
  <si>
    <t>보라매삼성쉐르빌</t>
  </si>
  <si>
    <t>11470-100184668</t>
  </si>
  <si>
    <t>서울특별시 양천구 목동 962-1번지</t>
  </si>
  <si>
    <t>목동트라팰리스 이스턴에비뉴</t>
  </si>
  <si>
    <t>11710-16738</t>
  </si>
  <si>
    <t>서울특별시 송파구 잠실동 40번지</t>
  </si>
  <si>
    <t>갤러리아팰리스</t>
  </si>
  <si>
    <t>11680-2339</t>
  </si>
  <si>
    <t>서울특별시 강남구 삼성동 87번지</t>
  </si>
  <si>
    <t>아이파크삼성동</t>
  </si>
  <si>
    <t>사우스윙</t>
  </si>
  <si>
    <t>11680-2341</t>
  </si>
  <si>
    <t>웨스트윙</t>
  </si>
  <si>
    <t>26350-100204451</t>
  </si>
  <si>
    <t>부산광역시 해운대구 우동 1407번지</t>
  </si>
  <si>
    <t>해운대 두산위브더제니스</t>
  </si>
  <si>
    <t>101동</t>
  </si>
  <si>
    <t>26350-100205080</t>
  </si>
  <si>
    <t>102동</t>
  </si>
  <si>
    <t>26350-100202586</t>
  </si>
  <si>
    <t>부산광역시 해운대구 우동 1408번지</t>
  </si>
  <si>
    <t>해운대 l'PARK</t>
  </si>
  <si>
    <t>주동2</t>
  </si>
  <si>
    <t>26350-100205669</t>
  </si>
  <si>
    <t>103동</t>
  </si>
  <si>
    <t>26350-100203236</t>
  </si>
  <si>
    <t>주동1</t>
  </si>
  <si>
    <t>26350-100188472</t>
  </si>
  <si>
    <t>부산광역시 해운대구 재송동 1196번지</t>
  </si>
  <si>
    <t>the# 센텀스타</t>
  </si>
  <si>
    <t>B동</t>
  </si>
  <si>
    <t>26230-100188570</t>
  </si>
  <si>
    <t>부산광역시 부산진구 부전동 537-9번지</t>
  </si>
  <si>
    <t>더샵 센트럴스타</t>
  </si>
  <si>
    <t>26350-100188968</t>
  </si>
  <si>
    <t>26260-100172067</t>
  </si>
  <si>
    <t>부산광역시 동래구 온천동 178-7번지</t>
  </si>
  <si>
    <t>벽산아스타</t>
  </si>
  <si>
    <t>26350-16595</t>
  </si>
  <si>
    <t>부산광역시 해운대구 재송동 1200번지</t>
  </si>
  <si>
    <t>더샵 센텀파크 1차 아파트</t>
  </si>
  <si>
    <t>104동</t>
  </si>
  <si>
    <t>26350-16599</t>
  </si>
  <si>
    <t>113동</t>
  </si>
  <si>
    <t>26350-16600</t>
  </si>
  <si>
    <t>112동</t>
  </si>
  <si>
    <t>26350-16602</t>
  </si>
  <si>
    <t>110동</t>
  </si>
  <si>
    <t>26350-16605</t>
  </si>
  <si>
    <t>107동</t>
  </si>
  <si>
    <t>26350-100200365</t>
  </si>
  <si>
    <t>부산광역시 해운대구 우동 1523번지</t>
  </si>
  <si>
    <t>WBC the PALACE</t>
  </si>
  <si>
    <t>26350-100200213</t>
  </si>
  <si>
    <t>26350-16626</t>
  </si>
  <si>
    <t>26350-16604</t>
  </si>
  <si>
    <t>108동</t>
  </si>
  <si>
    <t>26350-16598</t>
  </si>
  <si>
    <t>114동</t>
  </si>
  <si>
    <t>26350-16596</t>
  </si>
  <si>
    <t>106동</t>
  </si>
  <si>
    <t>27260-100198919</t>
  </si>
  <si>
    <t>대구광역시 수성구 두산동 113번지</t>
  </si>
  <si>
    <t>수성 SK 리더스뷰</t>
  </si>
  <si>
    <t>27260-100199331</t>
  </si>
  <si>
    <t>27260-100194897</t>
  </si>
  <si>
    <t>대구광역시 수성구 범어동 179번지</t>
  </si>
  <si>
    <t>두산위브더제니스</t>
  </si>
  <si>
    <t>27260-100193891</t>
  </si>
  <si>
    <t>27260-100194599</t>
  </si>
  <si>
    <t>27260-100194748</t>
  </si>
  <si>
    <t>105동</t>
  </si>
  <si>
    <t>27260-100194307</t>
  </si>
  <si>
    <t>109동</t>
  </si>
  <si>
    <t>27260-100195049</t>
  </si>
  <si>
    <t>27260-100194170</t>
  </si>
  <si>
    <t>27260-100194043</t>
  </si>
  <si>
    <t>27260-100195341</t>
  </si>
  <si>
    <t>27290-100200839</t>
  </si>
  <si>
    <t>대구광역시 달서구 감삼동 461번지</t>
  </si>
  <si>
    <t>월드마크 웨스트엔드</t>
  </si>
  <si>
    <t>27110-19116</t>
  </si>
  <si>
    <t>대구광역시 중구 대봉동 60-10번지</t>
  </si>
  <si>
    <t>센트로 팰리스</t>
  </si>
  <si>
    <t>27290-100200108</t>
  </si>
  <si>
    <t>27110-19112</t>
  </si>
  <si>
    <t>27230-23613</t>
  </si>
  <si>
    <t>대구광역시 북구 산격동 1449-1번지</t>
  </si>
  <si>
    <t>어린이집</t>
  </si>
  <si>
    <t>27260-100198711</t>
  </si>
  <si>
    <t>27260-100199479</t>
  </si>
  <si>
    <t>27260-100199234</t>
  </si>
  <si>
    <t>27230-8469</t>
  </si>
  <si>
    <t>대구광역시 북구 침산동 269-10번지</t>
  </si>
  <si>
    <t>명성푸르지오</t>
  </si>
  <si>
    <t>28185-100175089</t>
  </si>
  <si>
    <t>인천광역시 연수구 송도동 4-1번지</t>
  </si>
  <si>
    <t>송도 더샵 퍼스트월드</t>
  </si>
  <si>
    <t>1동</t>
  </si>
  <si>
    <t>28185-100176237</t>
  </si>
  <si>
    <t>6동</t>
  </si>
  <si>
    <t>28185-100177497</t>
  </si>
  <si>
    <t>4동</t>
  </si>
  <si>
    <t>28185-100176562</t>
  </si>
  <si>
    <t>3동</t>
  </si>
  <si>
    <t>28260-100233573</t>
  </si>
  <si>
    <t>인천광역시 서구 연희동 801-1번지</t>
  </si>
  <si>
    <t>청라 풍림 엑슬루타워</t>
  </si>
  <si>
    <t>28260-100234421</t>
  </si>
  <si>
    <t>28170-100216918</t>
  </si>
  <si>
    <t>인천광역시 남구 용현동 659번지</t>
  </si>
  <si>
    <t>인천 용현 엑슬루타워</t>
  </si>
  <si>
    <t>28170-100209724</t>
  </si>
  <si>
    <t>인천광역시 남구 학익동 732-3번지</t>
  </si>
  <si>
    <t>엑슬루타워</t>
  </si>
  <si>
    <t>28200-100219933</t>
  </si>
  <si>
    <t>인천광역시 남동구 논현동 블록 소래논현 도시개발지구지구 9블록블록</t>
  </si>
  <si>
    <t>에코메트로 9블록 한화 꿈에그린아파트</t>
  </si>
  <si>
    <t>905동</t>
  </si>
  <si>
    <t>28185-100194149</t>
  </si>
  <si>
    <t>인천광역시 연수구 송도동 23-4번지</t>
  </si>
  <si>
    <t>더샵센트럴파크2</t>
  </si>
  <si>
    <t>203동</t>
  </si>
  <si>
    <t>28200-100219519</t>
  </si>
  <si>
    <t>904동</t>
  </si>
  <si>
    <t>28170-100217573</t>
  </si>
  <si>
    <t>28260-100233882</t>
  </si>
  <si>
    <t>28185-100185388</t>
  </si>
  <si>
    <t>인천광역시 연수구 송도동 23-3번지</t>
  </si>
  <si>
    <t>더샵센트럴파크1</t>
  </si>
  <si>
    <t>28185-100185866</t>
  </si>
  <si>
    <t>28185-100186083</t>
  </si>
  <si>
    <t>28185-100194845</t>
  </si>
  <si>
    <t>인천광역시 연수구 송도동 30-3번지</t>
  </si>
  <si>
    <t>송도 센트로드</t>
  </si>
  <si>
    <t>28170-100217109</t>
  </si>
  <si>
    <t>28170-100209536</t>
  </si>
  <si>
    <t>28185-100192147</t>
  </si>
  <si>
    <t>인천광역시 연수구 연수동 593-3번지</t>
  </si>
  <si>
    <t>연수 푸르지오 1단지</t>
  </si>
  <si>
    <t>29155-100192981</t>
  </si>
  <si>
    <t>광주광역시 남구 봉선동 1080번지</t>
  </si>
  <si>
    <t>봉선2차 남양휴튼</t>
  </si>
  <si>
    <t>202동</t>
  </si>
  <si>
    <t>29155-100192727</t>
  </si>
  <si>
    <t>29140-3014</t>
  </si>
  <si>
    <t>광주광역시 서구 양동 60-37번지</t>
  </si>
  <si>
    <t>케이디비생명보험(주)</t>
  </si>
  <si>
    <t>29155-100192886</t>
  </si>
  <si>
    <t>201동</t>
  </si>
  <si>
    <t>29170-60434</t>
  </si>
  <si>
    <t>광주광역시 북구 양산동 776번지</t>
  </si>
  <si>
    <t>지에스그린자이1차아파트</t>
  </si>
  <si>
    <t>29170-60433</t>
  </si>
  <si>
    <t>29170-100184974</t>
  </si>
  <si>
    <t>광주광역시 북구 운암동 69번지</t>
  </si>
  <si>
    <t>벽산 블루밍 메가씨티</t>
  </si>
  <si>
    <t>벽산 블루밍 메가씨티 303동</t>
  </si>
  <si>
    <t>29170-100186829</t>
  </si>
  <si>
    <t>벽산 블루밍 메가씨티 302동</t>
  </si>
  <si>
    <t>29170-100187154</t>
  </si>
  <si>
    <t>벽산 블루밍 메가씨티 307동</t>
  </si>
  <si>
    <t>29170-100186526</t>
  </si>
  <si>
    <t>벽산 블루밍 메가씨티 305동</t>
  </si>
  <si>
    <t>29170-100185510</t>
  </si>
  <si>
    <t>벽산 블루밍 메가씨티 304동</t>
  </si>
  <si>
    <t>29170-100185197</t>
  </si>
  <si>
    <t>광주광역시 북구 운암동 68번지</t>
  </si>
  <si>
    <t>벽산 블루밍 메가씨티 204동</t>
  </si>
  <si>
    <t>29170-100185911</t>
  </si>
  <si>
    <t>벽산 블루밍 메가씨티 202동</t>
  </si>
  <si>
    <t>29170-100185371</t>
  </si>
  <si>
    <t>벽산 블루밍 메가씨티 201동</t>
  </si>
  <si>
    <t>29170-100185715</t>
  </si>
  <si>
    <t>벽산 블루밍 메가씨티 205동</t>
  </si>
  <si>
    <t>29170-100186209</t>
  </si>
  <si>
    <t>벽산 블루밍 메가씨티 203동</t>
  </si>
  <si>
    <t>29200-100193150</t>
  </si>
  <si>
    <t>광주광역시 광산구 수완동 1486번지</t>
  </si>
  <si>
    <t>은빛마을 모아엘가</t>
  </si>
  <si>
    <t>29200-100193060</t>
  </si>
  <si>
    <t>29200-100192970</t>
  </si>
  <si>
    <t>29170-100186011</t>
  </si>
  <si>
    <t>벽산 블루밍 메가씨티 206동</t>
  </si>
  <si>
    <t>30200-100199458</t>
  </si>
  <si>
    <t>대전광역시 유성구 봉명동 469-46번지</t>
  </si>
  <si>
    <t>유성자이</t>
  </si>
  <si>
    <t>30200-100183217</t>
  </si>
  <si>
    <t>대전광역시 유성구 도룡동 4-6번지</t>
  </si>
  <si>
    <t>스마트시티</t>
  </si>
  <si>
    <t>30200-100183516</t>
  </si>
  <si>
    <t>대전광역시 유성구 도룡동 4-7번지</t>
  </si>
  <si>
    <t>502동</t>
  </si>
  <si>
    <t>30200-100183346</t>
  </si>
  <si>
    <t>30200-100183645</t>
  </si>
  <si>
    <t>501동</t>
  </si>
  <si>
    <t>30200-100183106</t>
  </si>
  <si>
    <t>30200-100183762</t>
  </si>
  <si>
    <t>503동</t>
  </si>
  <si>
    <t>30110-100175002</t>
  </si>
  <si>
    <t>대전광역시 동구 낭월동 304번지</t>
  </si>
  <si>
    <t>오투그란데 아파트</t>
  </si>
  <si>
    <t>30110-100175388</t>
  </si>
  <si>
    <t>30110-29792</t>
  </si>
  <si>
    <t>대전광역시 동구 삼성동 479번지</t>
  </si>
  <si>
    <t>한밭자이</t>
  </si>
  <si>
    <t>30110-29796</t>
  </si>
  <si>
    <t>30110-5456</t>
  </si>
  <si>
    <t>대전광역시 동구 가오동 658번지</t>
  </si>
  <si>
    <t>은어송마을1단지</t>
  </si>
  <si>
    <t>30110-5466</t>
  </si>
  <si>
    <t>30110-33937</t>
  </si>
  <si>
    <t>대전광역시 동구 대성동 130번지</t>
  </si>
  <si>
    <t>은어송마을2단지 코오롱하늘채</t>
  </si>
  <si>
    <t>30110-33941</t>
  </si>
  <si>
    <t>211동</t>
  </si>
  <si>
    <t>30110-33960</t>
  </si>
  <si>
    <t>208동</t>
  </si>
  <si>
    <t>30110-33961</t>
  </si>
  <si>
    <t>206동</t>
  </si>
  <si>
    <t>30200-100210426</t>
  </si>
  <si>
    <t>대전광역시 유성구 상대동 487번지</t>
  </si>
  <si>
    <t>도안신도시9블록 트리풀시티아파트</t>
  </si>
  <si>
    <t>908동</t>
  </si>
  <si>
    <t>30200-100211570</t>
  </si>
  <si>
    <t>918동</t>
  </si>
  <si>
    <t>30200-100211799</t>
  </si>
  <si>
    <t>913동</t>
  </si>
  <si>
    <t>31110-100178975</t>
  </si>
  <si>
    <t>울산광역시 중구 옥교동 82-1번지</t>
  </si>
  <si>
    <t>태화강 엑소디움</t>
  </si>
  <si>
    <t>31110-100179212</t>
  </si>
  <si>
    <t>31140-100188423</t>
  </si>
  <si>
    <t>울산광역시 남구 신정동 1877번지</t>
  </si>
  <si>
    <t>31140-100199230</t>
  </si>
  <si>
    <t>울산광역시 남구 신정동 1880번지</t>
  </si>
  <si>
    <t>태화강 풍림 엑슬루타워</t>
  </si>
  <si>
    <t>31140-100199371</t>
  </si>
  <si>
    <t>31110-100175272</t>
  </si>
  <si>
    <t>울산광역시 중구 성남동 255-1번지</t>
  </si>
  <si>
    <t>롯데캐슬 스카이</t>
  </si>
  <si>
    <t>31110-100182579</t>
  </si>
  <si>
    <t>울산광역시 중구 우정동 172-5번지</t>
  </si>
  <si>
    <t>진흥 마제스타워 울산Ⅱ</t>
  </si>
  <si>
    <t>31140-100191126</t>
  </si>
  <si>
    <t>울산광역시 남구 삼산동 1564-1번지</t>
  </si>
  <si>
    <t>삼산동 대성스카이렉스</t>
  </si>
  <si>
    <t>31140-100191317</t>
  </si>
  <si>
    <t>31140-100185445</t>
  </si>
  <si>
    <t>울산광역시 남구 신정동 1873번지</t>
  </si>
  <si>
    <t>대공원 코오롱 파크폴리스</t>
  </si>
  <si>
    <t>31200-100201663</t>
  </si>
  <si>
    <t>울산광역시 북구 매곡동 330-2번지</t>
  </si>
  <si>
    <t>월드메르디앙 월드시티</t>
  </si>
  <si>
    <t>31200-100195539</t>
  </si>
  <si>
    <t>울산광역시 북구 매곡동 864번지</t>
  </si>
  <si>
    <t>31200-100197849</t>
  </si>
  <si>
    <t>울산광역시 북구 매곡동 865번지</t>
  </si>
  <si>
    <t>209동</t>
  </si>
  <si>
    <t>31200-100197570</t>
  </si>
  <si>
    <t>31110-100174673</t>
  </si>
  <si>
    <t>울산광역시 중구 우정동 172번지</t>
  </si>
  <si>
    <t>마제스타워 울산</t>
  </si>
  <si>
    <t>31110-100174939</t>
  </si>
  <si>
    <t>31110-100174806</t>
  </si>
  <si>
    <t>31140-100199512</t>
  </si>
  <si>
    <t>31200-100200493</t>
  </si>
  <si>
    <t>111동</t>
  </si>
  <si>
    <t>31200-100195280</t>
  </si>
  <si>
    <t>41590-100268689</t>
  </si>
  <si>
    <t>경기도 화성시 반송동 98번지</t>
  </si>
  <si>
    <t>METAPOLIS</t>
  </si>
  <si>
    <t>D동</t>
  </si>
  <si>
    <t>41590-100269432</t>
  </si>
  <si>
    <t>경기도 화성시 반송동 96번지</t>
  </si>
  <si>
    <t>41590-100269117</t>
  </si>
  <si>
    <t>41590-100268400</t>
  </si>
  <si>
    <t>41590-100272837</t>
  </si>
  <si>
    <t>경기도 화성시 반송동 93-3번지</t>
  </si>
  <si>
    <t>동탄파라곤</t>
  </si>
  <si>
    <t>41173-82180</t>
  </si>
  <si>
    <t>경기도 안양시 동안구 관양동 1591번지</t>
  </si>
  <si>
    <t>평촌아크로타워</t>
  </si>
  <si>
    <t>41590-100257861</t>
  </si>
  <si>
    <t>경기도 화성시 반송동 93-1번지</t>
  </si>
  <si>
    <t>풍성 위버폴리스</t>
  </si>
  <si>
    <t>41360-100209737</t>
  </si>
  <si>
    <t>경기도 남양주시 도농동 434번지</t>
  </si>
  <si>
    <t>마제스타워 도농</t>
  </si>
  <si>
    <t>41590-100266193</t>
  </si>
  <si>
    <t>경기도 화성시 반송동 90-9번지</t>
  </si>
  <si>
    <t>동탄 플래티넘</t>
  </si>
  <si>
    <t>41590-34345</t>
  </si>
  <si>
    <t>경기도 화성시 우정읍 조암리 189-4번지</t>
  </si>
  <si>
    <t>동명주택2차</t>
  </si>
  <si>
    <t>나동</t>
  </si>
  <si>
    <t>41135-125291</t>
  </si>
  <si>
    <t>경기도 성남시분당구 정자동 180번지</t>
  </si>
  <si>
    <t>미켈란쉐르빌</t>
  </si>
  <si>
    <t>41590-100274295</t>
  </si>
  <si>
    <t>경기도 화성시 반송동 93-9번지</t>
  </si>
  <si>
    <t>동탄하이페리온</t>
  </si>
  <si>
    <t>41590-100267673</t>
  </si>
  <si>
    <t>경기도 화성시 반송동 106-1번지</t>
  </si>
  <si>
    <t>동탄파라곤II</t>
  </si>
  <si>
    <t>41410-100180021</t>
  </si>
  <si>
    <t>경기도 군포시 산본동 1026-10번지</t>
  </si>
  <si>
    <t>금정삼성쉐르빌</t>
  </si>
  <si>
    <t>41117-238632</t>
  </si>
  <si>
    <t>경기도 수원시 영통구 매탄동 416번지</t>
  </si>
  <si>
    <t>삼성전자1단지</t>
  </si>
  <si>
    <t>D - D5동</t>
  </si>
  <si>
    <t>41195-21275</t>
  </si>
  <si>
    <t>경기도 부천시 원미구 상동 534-6번지</t>
  </si>
  <si>
    <t>비잔티움 상동</t>
  </si>
  <si>
    <t>41135-122115</t>
  </si>
  <si>
    <t>경기도 성남시분당구 정자동 154-1번지</t>
  </si>
  <si>
    <t>타임브릿지</t>
  </si>
  <si>
    <t>41210-100184056</t>
  </si>
  <si>
    <t>경기도 광명시 하안동 863번지</t>
  </si>
  <si>
    <t>광명 두산위브 트레지움</t>
  </si>
  <si>
    <t>41210-100184166</t>
  </si>
  <si>
    <t>41135-125001</t>
  </si>
  <si>
    <t>경기도 성남시 분당구 금곡동 210번지</t>
  </si>
  <si>
    <t>코오롱트리폴리스Ⅰ</t>
  </si>
  <si>
    <t>42760-100171796</t>
  </si>
  <si>
    <t>강원도 평창군 봉평면 면온리 1095-1번지</t>
  </si>
  <si>
    <t>스카이콘도</t>
  </si>
  <si>
    <t>블루동</t>
  </si>
  <si>
    <t>42760-14033</t>
  </si>
  <si>
    <t>42170-100171405</t>
  </si>
  <si>
    <t>강원도 동해시 천곡동 1102번지</t>
  </si>
  <si>
    <t>동해 금호어울림 아파트</t>
  </si>
  <si>
    <t>42170-100171499</t>
  </si>
  <si>
    <t>42110-100176387</t>
  </si>
  <si>
    <t>강원도 춘천시 후평동 904번지</t>
  </si>
  <si>
    <t>춘천더?아파트</t>
  </si>
  <si>
    <t>42110-100179171</t>
  </si>
  <si>
    <t>42110-100180226</t>
  </si>
  <si>
    <t>42110-100179943</t>
  </si>
  <si>
    <t>42110-100179406</t>
  </si>
  <si>
    <t>42110-100178596</t>
  </si>
  <si>
    <t>42110-100176708</t>
  </si>
  <si>
    <t>42110-100176932</t>
  </si>
  <si>
    <t>42110-100177654</t>
  </si>
  <si>
    <t>42110-100178245</t>
  </si>
  <si>
    <t>42130-100190981</t>
  </si>
  <si>
    <t>강원도 원주시 단구동 1026-26번지</t>
  </si>
  <si>
    <t>동보 노빌리티타워 골드</t>
  </si>
  <si>
    <t>42110-100176206</t>
  </si>
  <si>
    <t>42110-100177192</t>
  </si>
  <si>
    <t>42770-9767</t>
  </si>
  <si>
    <t>강원도 정선군 사북읍 사북리 424번지</t>
  </si>
  <si>
    <t>호텔 (1)</t>
  </si>
  <si>
    <t>42130-12856</t>
  </si>
  <si>
    <t>강원도 원주시 단구동 1510-1번지</t>
  </si>
  <si>
    <t>노빌리티타워</t>
  </si>
  <si>
    <t>42110-21279</t>
  </si>
  <si>
    <t>강원도 춘천시 퇴계동 1040번지</t>
  </si>
  <si>
    <t>퇴계동 쌍용스윗닷홈</t>
  </si>
  <si>
    <t>43113-100201006</t>
  </si>
  <si>
    <t>충청북도 청주시 흥덕구 복대동 3379번지</t>
  </si>
  <si>
    <t>신영지웰시티 1차 106동</t>
  </si>
  <si>
    <t>43113-100202351</t>
  </si>
  <si>
    <t>신영지웰시티 1차 105동</t>
  </si>
  <si>
    <t>43113-100202606</t>
  </si>
  <si>
    <t>신영지웰시티 1차108동</t>
  </si>
  <si>
    <t>43113-100201261</t>
  </si>
  <si>
    <t>신영지웰시티 1차 104동</t>
  </si>
  <si>
    <t>43113-100201516</t>
  </si>
  <si>
    <t>신영지웰시티 1차 107동</t>
  </si>
  <si>
    <t>43745-100173306</t>
  </si>
  <si>
    <t>충청북도 증평군 증평읍 교동리 91번지</t>
  </si>
  <si>
    <t>43113-100200524</t>
  </si>
  <si>
    <t>신영지웰시티 1차 103동</t>
  </si>
  <si>
    <t>43113-100200759</t>
  </si>
  <si>
    <t>신영지웰시티 1차 109동</t>
  </si>
  <si>
    <t>43770-9074</t>
  </si>
  <si>
    <t>충청북도 음성군 금왕읍 무극리 77-119번지</t>
  </si>
  <si>
    <t>43113-100192731</t>
  </si>
  <si>
    <t>충청북도 청주시 흥덕구 사직동 265-5번지</t>
  </si>
  <si>
    <t>B타워</t>
  </si>
  <si>
    <t>43113-100193046</t>
  </si>
  <si>
    <t>A타워</t>
  </si>
  <si>
    <t>43113-100200313</t>
  </si>
  <si>
    <t>신영지웰시티 1차 101동</t>
  </si>
  <si>
    <t>43113-100202146</t>
  </si>
  <si>
    <t>신영지웰시티 1차 102동</t>
  </si>
  <si>
    <t>43710-100188285</t>
  </si>
  <si>
    <t>충청북도 청원군 오송읍 연제리 736번지</t>
  </si>
  <si>
    <t>오송호반베르디움아파트</t>
  </si>
  <si>
    <t>603동</t>
  </si>
  <si>
    <t>43710-100188755</t>
  </si>
  <si>
    <t>601동</t>
  </si>
  <si>
    <t>43710-100191548</t>
  </si>
  <si>
    <t>충청북도 청원군 오송읍 연제리 726번지</t>
  </si>
  <si>
    <t>모아미래도</t>
  </si>
  <si>
    <t>43710-100191244</t>
  </si>
  <si>
    <t>504동</t>
  </si>
  <si>
    <t>43710-100188844</t>
  </si>
  <si>
    <t>602동</t>
  </si>
  <si>
    <t>43710-100188522</t>
  </si>
  <si>
    <t>604동</t>
  </si>
  <si>
    <t>43710-100190247</t>
  </si>
  <si>
    <t>충청북도 청원군 오송읍 연제리 700번지</t>
  </si>
  <si>
    <t>오송힐데스하임아파트</t>
  </si>
  <si>
    <t>801동</t>
  </si>
  <si>
    <t>44133-100230160</t>
  </si>
  <si>
    <t>충청남도 천안시 서북구 불당동 1289번지</t>
  </si>
  <si>
    <t>펜타포트</t>
  </si>
  <si>
    <t>44133-100230494</t>
  </si>
  <si>
    <t>충청남도 천안시 서북구 불당동 1292번지</t>
  </si>
  <si>
    <t>44133-100230747</t>
  </si>
  <si>
    <t>44200-100188006</t>
  </si>
  <si>
    <t>충청남도 아산시 탕정면 명암리 809번지</t>
  </si>
  <si>
    <t>탕정 삼성트라팰리스</t>
  </si>
  <si>
    <t>301동</t>
  </si>
  <si>
    <t>44200-100188194</t>
  </si>
  <si>
    <t>304동</t>
  </si>
  <si>
    <t>44200-100188969</t>
  </si>
  <si>
    <t>302동</t>
  </si>
  <si>
    <t>44200-100189479</t>
  </si>
  <si>
    <t>303동</t>
  </si>
  <si>
    <t>44200-100188588</t>
  </si>
  <si>
    <t>44200-100188762</t>
  </si>
  <si>
    <t>44200-100190069</t>
  </si>
  <si>
    <t>44200-100188384</t>
  </si>
  <si>
    <t>44200-100189868</t>
  </si>
  <si>
    <t>44200-100189310</t>
  </si>
  <si>
    <t>44200-100189664</t>
  </si>
  <si>
    <t>204동</t>
  </si>
  <si>
    <t>44200-100189150</t>
  </si>
  <si>
    <t>44200-100196250</t>
  </si>
  <si>
    <t>충청남도 아산시 용화동 1623번지</t>
  </si>
  <si>
    <t>용화마을신도브래뉴</t>
  </si>
  <si>
    <t>44730-100198907</t>
  </si>
  <si>
    <t>충청남도 연기군 남면 나성리 블록 행복도시지구 A-1블록블록</t>
  </si>
  <si>
    <t>첫마을아파트</t>
  </si>
  <si>
    <t>44200-100196564</t>
  </si>
  <si>
    <t>44200-100195730</t>
  </si>
  <si>
    <t>44200-100210880</t>
  </si>
  <si>
    <t>충청남도 아산시 배방읍 장재리 1767번지</t>
  </si>
  <si>
    <t>요진 와이시티</t>
  </si>
  <si>
    <t>45190-9936</t>
  </si>
  <si>
    <t>전라북도 남원시 도통동 171-2번지</t>
  </si>
  <si>
    <t>45130-100201297</t>
  </si>
  <si>
    <t>전라북도 군산시 대명동 385-60번지</t>
  </si>
  <si>
    <t>현대메트로타워</t>
  </si>
  <si>
    <t>45130-100201456</t>
  </si>
  <si>
    <t>45130-100201147</t>
  </si>
  <si>
    <t>45130-100201615</t>
  </si>
  <si>
    <t>45111-3820</t>
  </si>
  <si>
    <t>전라북도 전주시 완산구 효자동1가 205-74번지</t>
  </si>
  <si>
    <t>효자동 대림아파트</t>
  </si>
  <si>
    <t>45111-3821</t>
  </si>
  <si>
    <t>45111-6642</t>
  </si>
  <si>
    <t>전라북도 전주시 완산구 중화산동2가 232번지</t>
  </si>
  <si>
    <t>새한그린파크아파트</t>
  </si>
  <si>
    <t>45111-6571</t>
  </si>
  <si>
    <t>전라북도 전주시 완산구 중화산동1가 223-2번지</t>
  </si>
  <si>
    <t>거성근영아파트</t>
  </si>
  <si>
    <t>제101동</t>
  </si>
  <si>
    <t>45140-32722</t>
  </si>
  <si>
    <t>전라북도 익산시 부송동 231-4번지</t>
  </si>
  <si>
    <t>동아아파트</t>
  </si>
  <si>
    <t>45140-32732</t>
  </si>
  <si>
    <t>전라북도 익산시 부송동 231-26번지</t>
  </si>
  <si>
    <t>45140-32730</t>
  </si>
  <si>
    <t>45140-32725</t>
  </si>
  <si>
    <t>45111-6459</t>
  </si>
  <si>
    <t>전라북도 전주시 완산구 효자동1가 363-1번지</t>
  </si>
  <si>
    <t>남양아이좋은집</t>
  </si>
  <si>
    <t>45113-100184371</t>
  </si>
  <si>
    <t>전라북도 전주시 덕진구 송천동1가 292-7번지</t>
  </si>
  <si>
    <t>송천동 센트럴파크</t>
  </si>
  <si>
    <t>45113-100184460</t>
  </si>
  <si>
    <t>45113-100184249</t>
  </si>
  <si>
    <t>45111-3819</t>
  </si>
  <si>
    <t>45113-143691</t>
  </si>
  <si>
    <t>전라북도 전주시 덕진구 호성동1가 900번지</t>
  </si>
  <si>
    <t>호성주공아파트</t>
  </si>
  <si>
    <t>45113-143692</t>
  </si>
  <si>
    <t>213동</t>
  </si>
  <si>
    <t>46910-10214</t>
  </si>
  <si>
    <t>전라남도 신안군 임자면 대기리 산 231-3번지</t>
  </si>
  <si>
    <t>46230-100196521</t>
  </si>
  <si>
    <t>전라남도 광양시 광양읍 용강리 907번지</t>
  </si>
  <si>
    <t>광양 송보파인빌7차</t>
  </si>
  <si>
    <t>46230-100196713</t>
  </si>
  <si>
    <t>46230-100199528</t>
  </si>
  <si>
    <t>전라남도 광양시 중동 1734번지</t>
  </si>
  <si>
    <t>태완 노블리안</t>
  </si>
  <si>
    <t>46230-100199728</t>
  </si>
  <si>
    <t>46230-100199631</t>
  </si>
  <si>
    <t>46230-15182</t>
  </si>
  <si>
    <t>전라남도 광양시 광양읍 용강리 893번지</t>
  </si>
  <si>
    <t>창덕에버빌  (2단지)</t>
  </si>
  <si>
    <t>205동</t>
  </si>
  <si>
    <t>46230-100180700</t>
  </si>
  <si>
    <t>전라남도 광양시 마동 1055번지</t>
  </si>
  <si>
    <t>광양 송보파인빌 5차아파트</t>
  </si>
  <si>
    <t>46230-100182065</t>
  </si>
  <si>
    <t>전라남도 광양시 마동 1031번지</t>
  </si>
  <si>
    <t>광양 송보파인빌 6차아파트</t>
  </si>
  <si>
    <t>46230-100182165</t>
  </si>
  <si>
    <t>605동</t>
  </si>
  <si>
    <t>46230-15179</t>
  </si>
  <si>
    <t>46150-100194752</t>
  </si>
  <si>
    <t>전라남도 순천시 왕지동 891번지</t>
  </si>
  <si>
    <t>순천 두산위브 아파트</t>
  </si>
  <si>
    <t>46150-100195726</t>
  </si>
  <si>
    <t>46840-100184140</t>
  </si>
  <si>
    <t>전라남도 무안군 삼향읍 남악리 1480번지</t>
  </si>
  <si>
    <t>근화베아채</t>
  </si>
  <si>
    <t>46840-100184399</t>
  </si>
  <si>
    <t>46840-100184473</t>
  </si>
  <si>
    <t>46840-100184214</t>
  </si>
  <si>
    <t>46230-100184709</t>
  </si>
  <si>
    <t>전라남도 광양시 마동 1045번지</t>
  </si>
  <si>
    <t>광양 송보타워 아파트</t>
  </si>
  <si>
    <t>46150-100194956</t>
  </si>
  <si>
    <t>46150-100195158</t>
  </si>
  <si>
    <t>47113-100221024</t>
  </si>
  <si>
    <t>경상북도 포항시 북구 장성동 1612번지</t>
  </si>
  <si>
    <t>두산 위브 더 제니스</t>
  </si>
  <si>
    <t>47113-100219663</t>
  </si>
  <si>
    <t>47113-100220599</t>
  </si>
  <si>
    <t>47113-100220437</t>
  </si>
  <si>
    <t>47113-100219936</t>
  </si>
  <si>
    <t>47113-100220860</t>
  </si>
  <si>
    <t>47113-100220132</t>
  </si>
  <si>
    <t>47250-24783</t>
  </si>
  <si>
    <t>경상북도 상주시 화남면 평온리 196-5번지</t>
  </si>
  <si>
    <t>47113-100220290</t>
  </si>
  <si>
    <t>47190-100193753</t>
  </si>
  <si>
    <t>경상북도 구미시 옥계동 블록 구미국가산업단지제4단지지구 18-1B블록 3L로트</t>
  </si>
  <si>
    <t>구미옥계현진에버빌엠파이어</t>
  </si>
  <si>
    <t>47190-100194378</t>
  </si>
  <si>
    <t>47190-100194590</t>
  </si>
  <si>
    <t>47190-100194111</t>
  </si>
  <si>
    <t>47190-100211280</t>
  </si>
  <si>
    <t>경상북도 구미시 옥계동 905-1번지</t>
  </si>
  <si>
    <t>구미옥계휴먼시아 1단지</t>
  </si>
  <si>
    <t>47190-100212597</t>
  </si>
  <si>
    <t>경상북도 구미시 옥계동 905번지</t>
  </si>
  <si>
    <t>구미옥계휴먼시아 2단지</t>
  </si>
  <si>
    <t>47190-100212980</t>
  </si>
  <si>
    <t>47111-100207413</t>
  </si>
  <si>
    <t>경상북도 포항시 남구 효자동 609번지</t>
  </si>
  <si>
    <t>효자 웰빙타운 에스케이뷰 3차</t>
  </si>
  <si>
    <t>47111-100206978</t>
  </si>
  <si>
    <t>47111-100207230</t>
  </si>
  <si>
    <t>47111-100207108</t>
  </si>
  <si>
    <t>48121-3000010062</t>
  </si>
  <si>
    <t>경상남도 창원시 의창구 대원동 121번지</t>
  </si>
  <si>
    <t>더시티세븐</t>
  </si>
  <si>
    <t>자이</t>
  </si>
  <si>
    <t>48127-1100182774</t>
  </si>
  <si>
    <t>경상남도 창원시 마산회원구 양덕동 84-1번지</t>
  </si>
  <si>
    <t>메트로시티</t>
  </si>
  <si>
    <t>48127-1100184145</t>
  </si>
  <si>
    <t>48125-1100185437</t>
  </si>
  <si>
    <t>경상남도 창원시 마산합포구 신포동1가 76번지</t>
  </si>
  <si>
    <t>마산만 I'PARK</t>
  </si>
  <si>
    <t>48125-1100185691</t>
  </si>
  <si>
    <t>48125-1100185831</t>
  </si>
  <si>
    <t>48125-1100185970</t>
  </si>
  <si>
    <t>48127-1100183895</t>
  </si>
  <si>
    <t>48125-1100185577</t>
  </si>
  <si>
    <t>48125-1100186106</t>
  </si>
  <si>
    <t>48123-100180469</t>
  </si>
  <si>
    <t>경상남도 창원시 성산구 상남동 71-3번지</t>
  </si>
  <si>
    <t>상남 아크로타워</t>
  </si>
  <si>
    <t>48240-100181496</t>
  </si>
  <si>
    <t>경상남도 사천시 벌리동 355-1번지</t>
  </si>
  <si>
    <t>삼천포중앙여자중학교</t>
  </si>
  <si>
    <t>다목적강당</t>
  </si>
  <si>
    <t>48127-1100182552</t>
  </si>
  <si>
    <t>116동</t>
  </si>
  <si>
    <t>48127-1100183324</t>
  </si>
  <si>
    <t>119동</t>
  </si>
  <si>
    <t>48127-1100183537</t>
  </si>
  <si>
    <t>48127-1100183836</t>
  </si>
  <si>
    <t>48127-1100182663</t>
  </si>
  <si>
    <t>121동</t>
  </si>
  <si>
    <t>48127-1100182922</t>
  </si>
  <si>
    <t>117동</t>
  </si>
  <si>
    <t>48127-1100184032</t>
  </si>
  <si>
    <t>48170-100192023</t>
  </si>
  <si>
    <t>경상남도 진주시 내동면 독산리 1104번지</t>
  </si>
  <si>
    <t>남강휴먼빌아파트</t>
  </si>
  <si>
    <t>50110-100204027</t>
  </si>
  <si>
    <t>제주특별자치도 제주시 노형동 940-1번지</t>
  </si>
  <si>
    <t>에코피아</t>
  </si>
  <si>
    <t>50110-30349</t>
  </si>
  <si>
    <t>제주특별자치도 제주시 일도일동 1476-33번지</t>
  </si>
  <si>
    <t>제일주차빌딩</t>
  </si>
  <si>
    <t>50110-100194982</t>
  </si>
  <si>
    <t>제주특별자치도 제주시 연동 2325-6번지</t>
  </si>
  <si>
    <t>타워프로빌</t>
  </si>
  <si>
    <t>50110-72494</t>
  </si>
  <si>
    <t>제주특별자치도 제주시 연동 2324-1번지</t>
  </si>
  <si>
    <t>도원스카이타워빌</t>
  </si>
  <si>
    <t>50110-100185576</t>
  </si>
  <si>
    <t>제주특별자치도 제주시 노형동 930-1번지</t>
  </si>
  <si>
    <t>에코빌리지Ⅰ</t>
  </si>
  <si>
    <t>50110-72017</t>
  </si>
  <si>
    <t>제주특별자치도 제주시 노형동 1295-16번지</t>
  </si>
  <si>
    <t>시티콘가족호텔가족</t>
  </si>
  <si>
    <t>50110-13405</t>
  </si>
  <si>
    <t>제주특별자치도 제주시 이도일동 1691-7번지</t>
  </si>
  <si>
    <t>제주칼호텔</t>
  </si>
  <si>
    <t>50110-100193800</t>
  </si>
  <si>
    <t>제주특별자치도 제주시 노형동 912-4번지</t>
  </si>
  <si>
    <t>일호 지오빌</t>
  </si>
  <si>
    <t>50110-104399</t>
  </si>
  <si>
    <t>제주특별자치도 제주시 연동 283-23번지</t>
  </si>
  <si>
    <t>블루시티</t>
  </si>
  <si>
    <t>50110-98210</t>
  </si>
  <si>
    <t>제주특별자치도 제주시 노형동 906-4번지</t>
  </si>
  <si>
    <t>공간에버빌</t>
  </si>
  <si>
    <t>50110-82083</t>
  </si>
  <si>
    <t>제주특별자치도 제주시 노형동 2582-2번지</t>
  </si>
  <si>
    <t>정든마을3단지 306동</t>
  </si>
  <si>
    <t>50110-82082</t>
  </si>
  <si>
    <t>정든마을3단지 307동</t>
  </si>
  <si>
    <t>50110-82081</t>
  </si>
  <si>
    <t>정든마을3단지 308동</t>
  </si>
  <si>
    <t>50110-77128</t>
  </si>
  <si>
    <t>제주특별자치도 제주시 연동 253-7번지</t>
  </si>
  <si>
    <t>굿윌카운티</t>
  </si>
  <si>
    <t>50110-76965</t>
  </si>
  <si>
    <t>제주특별자치도 제주시 노형동 722-3번지</t>
  </si>
  <si>
    <t>메르헨하우스2</t>
  </si>
  <si>
    <t>50110-74274</t>
  </si>
  <si>
    <t>제주특별자치도 제주시 연동 2325-4번지</t>
  </si>
  <si>
    <t>신우스위트빌</t>
  </si>
  <si>
    <t>50110-66870</t>
  </si>
  <si>
    <t>제주특별자치도 제주시 노형동 722-2번지</t>
  </si>
  <si>
    <t>메르헨하우스3</t>
  </si>
  <si>
    <t>50110-60443</t>
  </si>
  <si>
    <t>제주특별자치도 제주시 노형동 930-12번지</t>
  </si>
  <si>
    <t>재형샤르빌</t>
  </si>
  <si>
    <t>50110-49336</t>
  </si>
  <si>
    <t>제주특별자치도 제주시 노형동 1320번지</t>
  </si>
  <si>
    <t>인텔리젼트 한빛아파트</t>
  </si>
  <si>
    <t>50110-43203</t>
  </si>
  <si>
    <t>제주특별자치도 제주시 연동 251-7번지</t>
  </si>
  <si>
    <t>동서연동타워</t>
  </si>
  <si>
    <t>구분</t>
  </si>
  <si>
    <t>F_PLAT_PLC_PRT(X03.SIGUNGU_CD,X03.BJDONG_CD,X03.PLAT_GB_CD,X03.BUN,X03.JI,X03.SPLOT_NM,X03.BLOCK,X03.LOT)</t>
  </si>
  <si>
    <t>서울특별시 성동구 행당동 155-1번지</t>
  </si>
  <si>
    <t>행당동복합개발사업 주상복합</t>
  </si>
  <si>
    <t>서울특별시 송파구 신천동 29번지</t>
  </si>
  <si>
    <t>제2롯데월드신축공사</t>
  </si>
  <si>
    <t>제2롯데월드</t>
  </si>
  <si>
    <t>부산광역시 중구 중앙동7가 20-1번지</t>
  </si>
  <si>
    <t>부산롯데타운</t>
  </si>
  <si>
    <t>타워동</t>
  </si>
  <si>
    <t>부산광역시 남구 문현동 1229-2번지</t>
  </si>
  <si>
    <t>부산국제금융센터 복합개발사업</t>
  </si>
  <si>
    <t>주건축물제1동</t>
  </si>
  <si>
    <t>부산광역시 해운대구 중동 블록 해운대관광리조트 도시개발구역지구 I블록 1로트</t>
  </si>
  <si>
    <t>해운대 관광리조트</t>
  </si>
  <si>
    <t>랜드마크타워</t>
  </si>
  <si>
    <t>주거타워 A동</t>
  </si>
  <si>
    <t>주거타워 B동</t>
  </si>
  <si>
    <t>주건축물제2동</t>
  </si>
  <si>
    <t>인천광역시 남동구 논현동 블록 논현(2)택지개발사업지구상업용지C12-2지구</t>
  </si>
  <si>
    <t>논현2지구 오피스텔 신축공사</t>
  </si>
  <si>
    <t>인천광역시 남동구 논현동 블록 소래논현도시개발지구지구 C10블록블록</t>
  </si>
  <si>
    <t>인천 소래논현구역 C10블록 주상복합 신축공사</t>
  </si>
  <si>
    <t>A</t>
  </si>
  <si>
    <t>B</t>
  </si>
  <si>
    <t>C</t>
  </si>
  <si>
    <t>광주광역시 서구 치평동 1176-1번지</t>
  </si>
  <si>
    <t>동양스카이빌</t>
  </si>
  <si>
    <t>대전광역시 중구 선화동 82-1번지</t>
  </si>
  <si>
    <t>선화동 82번지 일대 아파트</t>
  </si>
  <si>
    <t>선화동 82번지 일대 아파트 A동</t>
  </si>
  <si>
    <t>선화동 82번지 일대 아파트 B동</t>
  </si>
  <si>
    <t>대전광역시 유성구 용산동 579번지</t>
  </si>
  <si>
    <t>DTV ST 블럭호텔</t>
  </si>
  <si>
    <t>Edifice-YELLOW(103)</t>
  </si>
  <si>
    <t>Edifice-GREEN(107)</t>
  </si>
  <si>
    <t>Edifice-RED(102)</t>
  </si>
  <si>
    <t>대전광역시 유성구 봉명동 549-11번지</t>
  </si>
  <si>
    <t>봉명동 549 주상복합</t>
  </si>
  <si>
    <t>Edifice-BROWN(106)</t>
  </si>
  <si>
    <t>Edifice-BLACK(105)</t>
  </si>
  <si>
    <t>Edifice-BLUE(101)</t>
  </si>
  <si>
    <t>Edifice-WHITE(104)</t>
  </si>
  <si>
    <t>대전광역시 대덕구 석봉동 블록 구)풍한방직 이전적지 도시개발사업지구 A-1블록</t>
  </si>
  <si>
    <t>금강풍림엑슬루타워</t>
  </si>
  <si>
    <t>울산광역시 중구 성남동 196-21번지</t>
  </si>
  <si>
    <t>성남동주상복합</t>
  </si>
  <si>
    <t>울산광역시 남구 신정동 1127-3번지</t>
  </si>
  <si>
    <t>남구 신정동 주상복합</t>
  </si>
  <si>
    <t>경기도 수원시 장안구 정자동 600-2번지</t>
  </si>
  <si>
    <t>수원 SK SKY VIEW</t>
  </si>
  <si>
    <t>경기도 고양시 일산서구 탄현동 297번지</t>
  </si>
  <si>
    <t>공동주택</t>
  </si>
  <si>
    <t>강원도 원주시 우산동 86-1번지</t>
  </si>
  <si>
    <t>원주다소미</t>
  </si>
  <si>
    <t>강원도 동해시 천곡동 954-1번지</t>
  </si>
  <si>
    <t>동해시 주상복합</t>
  </si>
  <si>
    <t>충청북도 청주시 흥덕구 복대동 블록 대농3지구지구 상업2블럭블록</t>
  </si>
  <si>
    <t>복대동 대농3지구 상업2블럭 판매시설 ((주)신영대농개발)</t>
  </si>
  <si>
    <t>충청북도 청원군 오창읍 양청리 808-2번지</t>
  </si>
  <si>
    <t>오창양청리000호텔</t>
  </si>
  <si>
    <t>충청북도 청원군 오창읍 양청리 792-1번지</t>
  </si>
  <si>
    <t>양청리 00오피스텔 신축공사</t>
  </si>
  <si>
    <t>충청남도 아산시 배방읍 장재리 블록 아산배방택지개발사업지구 일반상업지역내 특별계획구역지구 4블록</t>
  </si>
  <si>
    <t>싸이클론타워</t>
  </si>
  <si>
    <t>충청남도 아산시 배방면 장재리 블록 아산신도시택지개발지구지구 5-1블록블록</t>
  </si>
  <si>
    <t>아산 신도시 부경 오피스텔 신축공사</t>
  </si>
  <si>
    <t>전라북도 전주시 완산구 효자동3가 1693-5번지</t>
  </si>
  <si>
    <t>효자동3가 1693-5 업무시설 ((유)플러시너)</t>
  </si>
  <si>
    <t>전라북도 전주시 완산구 효자동3가 11번지</t>
  </si>
  <si>
    <t>전라북도청및의회청사</t>
  </si>
  <si>
    <t>도청사및의회청사</t>
  </si>
  <si>
    <t>전라북도 전주시 완산구 중동 7-14번지</t>
  </si>
  <si>
    <t>전북 전주완주혁신도시 B-12BL 공동주택</t>
  </si>
  <si>
    <t>전라북도 전주시 덕진구 장동 7-6번지</t>
  </si>
  <si>
    <t>전북 전주완주혁신도시 B-2BL 공동주택</t>
  </si>
  <si>
    <t>전라남도 목포시 남교동 111-9번지</t>
  </si>
  <si>
    <t>남교동 111-9 공동주택 (한국토지주택공사)</t>
  </si>
  <si>
    <t>목포남교주상관복합건축</t>
  </si>
  <si>
    <t>전라남도 여수시 소호동 산 99번지</t>
  </si>
  <si>
    <t>여수오션리조트</t>
  </si>
  <si>
    <t>관광호텔동</t>
  </si>
  <si>
    <t>전라남도 여수시 수정동 332-15번지</t>
  </si>
  <si>
    <t>수정동 332-15 숙박시설 (대명레저산업)</t>
  </si>
  <si>
    <t>전라남도 순천시 덕암동 371-29번지</t>
  </si>
  <si>
    <t>하종배건축물</t>
  </si>
  <si>
    <t>전라남도 나주시 금천면 블록 광주전남공동혁신 도시개발사업지구지구 이전1블록</t>
  </si>
  <si>
    <t>KEPCO 본사 신사옥</t>
  </si>
  <si>
    <t>본관</t>
  </si>
  <si>
    <t>전라남도 광양시 광양읍 용강리 919번지</t>
  </si>
  <si>
    <t>전라남도 광양시 중동 1601번지</t>
  </si>
  <si>
    <t>대광 로제비앙 2차 아파트 신축공사</t>
  </si>
  <si>
    <t>전라남도 무안군 삼향읍 남악리 2104번지</t>
  </si>
  <si>
    <t>더 트리폴리앙</t>
  </si>
  <si>
    <t>전라남도 함평군 함평읍 장년리 산 3-1번지</t>
  </si>
  <si>
    <t>(주)원진</t>
  </si>
  <si>
    <t>가동</t>
  </si>
  <si>
    <t>경상북도 김천시 남면 블록 김천혁신도시내 지구단위계획구역지구 5블록 9로트</t>
  </si>
  <si>
    <t>한국도로공사 신사옥 건립</t>
  </si>
  <si>
    <t>본관동</t>
  </si>
  <si>
    <t>경상북도 구미시 원평동 1037-14번지</t>
  </si>
  <si>
    <t>노마드레지던스구미</t>
  </si>
  <si>
    <t>경상북도 예천군 예천읍 동본리 548번지</t>
  </si>
  <si>
    <t>동본리 주상복합</t>
  </si>
  <si>
    <t>마산 양덕 태영·한림아파트</t>
  </si>
  <si>
    <t>경상남도 진주시 평거동 139-5번지</t>
  </si>
  <si>
    <t>진주 평거동 OO주상복합 신축공사</t>
  </si>
  <si>
    <t>경상남도 진주시 강남동 181-1번지</t>
  </si>
  <si>
    <t>진주시 강남동 주거복합</t>
  </si>
  <si>
    <t>강남동 주거복합</t>
  </si>
  <si>
    <t>경상남도 거제시 일운면 소동리 115번지</t>
  </si>
  <si>
    <t>대명리조트 거제</t>
  </si>
  <si>
    <t>콘도미니엄A동</t>
  </si>
  <si>
    <t>연동 타워프로빌</t>
  </si>
  <si>
    <t>제주특별자치도 제주시 이도일동 1258-28번지</t>
  </si>
  <si>
    <t>이도일동  공동주택 ((주)장일주택)</t>
  </si>
  <si>
    <t>a동</t>
  </si>
  <si>
    <t>제주특별자치도 제주시 연동 2325-7번지</t>
  </si>
  <si>
    <t>연동 타워프로빌 2차</t>
  </si>
  <si>
    <t>제주특별자치도 제주시 노형동 920-13번지</t>
  </si>
  <si>
    <t>노형해든주상복합신축공사</t>
  </si>
  <si>
    <t>제주특별자치도 제주시 연동 2324-6번지</t>
  </si>
  <si>
    <t>제주연동 롯데시티호텔</t>
  </si>
  <si>
    <t>제주특별자치도 제주시 노형동 1294-4번지</t>
  </si>
  <si>
    <t>노형 에코하임</t>
  </si>
  <si>
    <t>제주시연동 주거복합</t>
  </si>
  <si>
    <t>주택</t>
  </si>
  <si>
    <t>건축</t>
  </si>
  <si>
    <t>순위</t>
    <phoneticPr fontId="3" type="noConversion"/>
  </si>
  <si>
    <t>구분</t>
    <phoneticPr fontId="5" type="noConversion"/>
  </si>
  <si>
    <t>건물명</t>
    <phoneticPr fontId="3" type="noConversion"/>
  </si>
  <si>
    <t>동명칭</t>
    <phoneticPr fontId="5" type="noConversion"/>
  </si>
  <si>
    <t>지상층수</t>
    <phoneticPr fontId="3" type="noConversion"/>
  </si>
  <si>
    <t>위치</t>
    <phoneticPr fontId="3" type="noConversion"/>
  </si>
  <si>
    <t>세종특별자치시</t>
    <phoneticPr fontId="3" type="noConversion"/>
  </si>
  <si>
    <t>리첸시아 중동</t>
  </si>
  <si>
    <t>금강엑슬루타워</t>
  </si>
  <si>
    <t>지적공부면적지</t>
  </si>
  <si>
    <t>제1종근린생활시설</t>
  </si>
  <si>
    <t>제2종근린생활시설</t>
  </si>
  <si>
    <t>판매시설</t>
  </si>
  <si>
    <t>업무시설</t>
  </si>
  <si>
    <t>위락시설</t>
  </si>
  <si>
    <t>숙박시설</t>
  </si>
  <si>
    <t>운수시설</t>
  </si>
  <si>
    <t>위험물저장 및 처리시설</t>
  </si>
  <si>
    <t>자동차관련시설</t>
  </si>
  <si>
    <t>기타</t>
  </si>
  <si>
    <t>동수</t>
    <phoneticPr fontId="3" type="noConversion"/>
  </si>
  <si>
    <t>연면적</t>
    <phoneticPr fontId="3" type="noConversion"/>
  </si>
  <si>
    <t>[목  차]</t>
    <phoneticPr fontId="3" type="noConversion"/>
  </si>
  <si>
    <t>[자료 추출 기준]</t>
    <phoneticPr fontId="3" type="noConversion"/>
  </si>
  <si>
    <t>[2] 추출 대상 대장 : 건축물대장</t>
    <phoneticPr fontId="3" type="noConversion"/>
  </si>
  <si>
    <t>[3] 추출 기준</t>
    <phoneticPr fontId="3" type="noConversion"/>
  </si>
  <si>
    <t xml:space="preserve">  1. 주/부 구분 : 주건축물 (부속건축물 제외)</t>
    <phoneticPr fontId="3" type="noConversion"/>
  </si>
  <si>
    <t xml:space="preserve">  3. 용도 : 층별 용도</t>
    <phoneticPr fontId="3" type="noConversion"/>
  </si>
  <si>
    <t xml:space="preserve">  4. 동수 : 층별 대표 용도를 추출하여 동별 용도로 산정</t>
    <phoneticPr fontId="3" type="noConversion"/>
  </si>
  <si>
    <t xml:space="preserve">  5. 연면적 : (용도별) 층 면적의 합</t>
    <phoneticPr fontId="3" type="noConversion"/>
  </si>
  <si>
    <t>(단위 : 동, ㎡)</t>
    <phoneticPr fontId="3" type="noConversion"/>
  </si>
  <si>
    <t>□ 건축물 현황</t>
    <phoneticPr fontId="5" type="noConversion"/>
  </si>
  <si>
    <t>서울 국제금융 센터</t>
  </si>
  <si>
    <t>쓰리 아이에프씨동</t>
  </si>
  <si>
    <t>기타</t>
    <phoneticPr fontId="3" type="noConversion"/>
  </si>
  <si>
    <t>(단위 : ㎡)</t>
    <phoneticPr fontId="3" type="noConversion"/>
  </si>
  <si>
    <t>주거용</t>
    <phoneticPr fontId="3" type="noConversion"/>
  </si>
  <si>
    <t>상업용</t>
    <phoneticPr fontId="3" type="noConversion"/>
  </si>
  <si>
    <t>공업용</t>
    <phoneticPr fontId="3" type="noConversion"/>
  </si>
  <si>
    <t>전국</t>
    <phoneticPr fontId="3" type="noConversion"/>
  </si>
  <si>
    <t>청라더샵레이크파크</t>
  </si>
  <si>
    <t>451동</t>
  </si>
  <si>
    <t>452동</t>
  </si>
  <si>
    <t>태화강엑소디움</t>
  </si>
  <si>
    <t>청라 롯데캐슬</t>
  </si>
  <si>
    <t>청라푸르지오아파트</t>
  </si>
  <si>
    <t>362동</t>
  </si>
  <si>
    <t>361동</t>
  </si>
  <si>
    <t>부산국제금융센터</t>
  </si>
  <si>
    <t>시도</t>
    <phoneticPr fontId="4" type="noConversion"/>
  </si>
  <si>
    <t>인구수</t>
    <phoneticPr fontId="4" type="noConversion"/>
  </si>
  <si>
    <t>주거용</t>
    <phoneticPr fontId="4" type="noConversion"/>
  </si>
  <si>
    <t>상업용</t>
    <phoneticPr fontId="4" type="noConversion"/>
  </si>
  <si>
    <t>공업용</t>
    <phoneticPr fontId="4" type="noConversion"/>
  </si>
  <si>
    <t>기타</t>
    <phoneticPr fontId="4" type="noConversion"/>
  </si>
  <si>
    <t>연면적</t>
    <phoneticPr fontId="5" type="noConversion"/>
  </si>
  <si>
    <t>1인당 면적</t>
    <phoneticPr fontId="5" type="noConversion"/>
  </si>
  <si>
    <t>합계</t>
    <phoneticPr fontId="5" type="noConversion"/>
  </si>
  <si>
    <t>비율</t>
    <phoneticPr fontId="5" type="noConversion"/>
  </si>
  <si>
    <t>합계</t>
    <phoneticPr fontId="7" type="noConversion"/>
  </si>
  <si>
    <t>207동</t>
  </si>
  <si>
    <t xml:space="preserve">□ 지역별 최고층 건축물 </t>
    <phoneticPr fontId="5" type="noConversion"/>
  </si>
  <si>
    <t>시도</t>
    <phoneticPr fontId="5" type="noConversion"/>
  </si>
  <si>
    <t xml:space="preserve">건물명 </t>
    <phoneticPr fontId="5" type="noConversion"/>
  </si>
  <si>
    <t>지상층수</t>
    <phoneticPr fontId="5" type="noConversion"/>
  </si>
  <si>
    <t>위치</t>
    <phoneticPr fontId="5" type="noConversion"/>
  </si>
  <si>
    <t>□ 50층 이상 건축물</t>
    <phoneticPr fontId="5" type="noConversion"/>
  </si>
  <si>
    <t>동명칭</t>
    <phoneticPr fontId="3" type="noConversion"/>
  </si>
  <si>
    <t>위치 (시군구)</t>
    <phoneticPr fontId="3" type="noConversion"/>
  </si>
  <si>
    <t>(단위 : 동, ㎡)</t>
    <phoneticPr fontId="3" type="noConversion"/>
  </si>
  <si>
    <t>시도</t>
    <phoneticPr fontId="3" type="noConversion"/>
  </si>
  <si>
    <t>합계</t>
    <phoneticPr fontId="3" type="noConversion"/>
  </si>
  <si>
    <t>기타</t>
    <phoneticPr fontId="3" type="noConversion"/>
  </si>
  <si>
    <t>동수</t>
    <phoneticPr fontId="3" type="noConversion"/>
  </si>
  <si>
    <t>연면적</t>
    <phoneticPr fontId="3" type="noConversion"/>
  </si>
  <si>
    <t>서울특별시</t>
    <phoneticPr fontId="4" type="noConversion"/>
  </si>
  <si>
    <t>부산광역시</t>
    <phoneticPr fontId="4" type="noConversion"/>
  </si>
  <si>
    <t>대구광역시</t>
    <phoneticPr fontId="4" type="noConversion"/>
  </si>
  <si>
    <t>인천광역시</t>
    <phoneticPr fontId="4" type="noConversion"/>
  </si>
  <si>
    <t>광주광역시</t>
    <phoneticPr fontId="4" type="noConversion"/>
  </si>
  <si>
    <t>대전광역시</t>
    <phoneticPr fontId="4" type="noConversion"/>
  </si>
  <si>
    <t>울산광역시</t>
    <phoneticPr fontId="4" type="noConversion"/>
  </si>
  <si>
    <t>세종특별자치시</t>
    <phoneticPr fontId="3" type="noConversion"/>
  </si>
  <si>
    <t>경기도</t>
    <phoneticPr fontId="4" type="noConversion"/>
  </si>
  <si>
    <t>[기준] 기타 : 상업용(주용도) 기준 면적에서 상세용도 합 제외</t>
    <phoneticPr fontId="3" type="noConversion"/>
  </si>
  <si>
    <t>전국</t>
    <phoneticPr fontId="7" type="noConversion"/>
  </si>
  <si>
    <t>경기도</t>
    <phoneticPr fontId="4" type="noConversion"/>
  </si>
  <si>
    <t>충청북도</t>
    <phoneticPr fontId="4" type="noConversion"/>
  </si>
  <si>
    <t>충청남도</t>
    <phoneticPr fontId="4" type="noConversion"/>
  </si>
  <si>
    <t>전라남도</t>
    <phoneticPr fontId="4" type="noConversion"/>
  </si>
  <si>
    <t>경상북도</t>
    <phoneticPr fontId="4" type="noConversion"/>
  </si>
  <si>
    <t>경상남도</t>
    <phoneticPr fontId="4" type="noConversion"/>
  </si>
  <si>
    <t>제주특별자치도</t>
    <phoneticPr fontId="4" type="noConversion"/>
  </si>
  <si>
    <t>서울특별시</t>
    <phoneticPr fontId="4" type="noConversion"/>
  </si>
  <si>
    <t>부산광역시</t>
    <phoneticPr fontId="4" type="noConversion"/>
  </si>
  <si>
    <t>대구광역시</t>
    <phoneticPr fontId="4" type="noConversion"/>
  </si>
  <si>
    <t>인천광역시</t>
    <phoneticPr fontId="4" type="noConversion"/>
  </si>
  <si>
    <t>광주광역시</t>
    <phoneticPr fontId="4" type="noConversion"/>
  </si>
  <si>
    <t>대전광역시</t>
    <phoneticPr fontId="4" type="noConversion"/>
  </si>
  <si>
    <t>울산광역시</t>
    <phoneticPr fontId="4" type="noConversion"/>
  </si>
  <si>
    <t>세종특별자치시</t>
    <phoneticPr fontId="4" type="noConversion"/>
  </si>
  <si>
    <t>충청북도</t>
    <phoneticPr fontId="4" type="noConversion"/>
  </si>
  <si>
    <t>충청남도</t>
    <phoneticPr fontId="4" type="noConversion"/>
  </si>
  <si>
    <t>전라북도</t>
    <phoneticPr fontId="4" type="noConversion"/>
  </si>
  <si>
    <t>전라남도</t>
    <phoneticPr fontId="4" type="noConversion"/>
  </si>
  <si>
    <t>경상북도</t>
    <phoneticPr fontId="4" type="noConversion"/>
  </si>
  <si>
    <t>경상남도</t>
    <phoneticPr fontId="4" type="noConversion"/>
  </si>
  <si>
    <t>제주특별자치도</t>
    <phoneticPr fontId="4" type="noConversion"/>
  </si>
  <si>
    <t>[기준] 기타 : 사용승일일(항목) 값 누락 또는 오기</t>
    <phoneticPr fontId="3" type="noConversion"/>
  </si>
  <si>
    <t>구분</t>
    <phoneticPr fontId="9" type="noConversion"/>
  </si>
  <si>
    <t>합계</t>
    <phoneticPr fontId="9" type="noConversion"/>
  </si>
  <si>
    <t>주거용</t>
    <phoneticPr fontId="9" type="noConversion"/>
  </si>
  <si>
    <t>상업용</t>
    <phoneticPr fontId="9" type="noConversion"/>
  </si>
  <si>
    <t>공업용</t>
    <phoneticPr fontId="9" type="noConversion"/>
  </si>
  <si>
    <t>기타</t>
    <phoneticPr fontId="9" type="noConversion"/>
  </si>
  <si>
    <t>동수</t>
    <phoneticPr fontId="9" type="noConversion"/>
  </si>
  <si>
    <t>연면적</t>
    <phoneticPr fontId="9" type="noConversion"/>
  </si>
  <si>
    <t>전체</t>
    <phoneticPr fontId="9" type="noConversion"/>
  </si>
  <si>
    <t>10년미만</t>
    <phoneticPr fontId="3" type="noConversion"/>
  </si>
  <si>
    <t>10 ~ 15년 미만</t>
    <phoneticPr fontId="3" type="noConversion"/>
  </si>
  <si>
    <t>15 ~ 20년 미만</t>
    <phoneticPr fontId="3" type="noConversion"/>
  </si>
  <si>
    <t>20 ~ 25년 미만</t>
    <phoneticPr fontId="3" type="noConversion"/>
  </si>
  <si>
    <t>25 ~ 30년 미만</t>
    <phoneticPr fontId="3" type="noConversion"/>
  </si>
  <si>
    <t>30 ~ 35년 미만</t>
    <phoneticPr fontId="3" type="noConversion"/>
  </si>
  <si>
    <t>35년 이상</t>
    <phoneticPr fontId="3" type="noConversion"/>
  </si>
  <si>
    <t>서울특별시</t>
    <phoneticPr fontId="3" type="noConversion"/>
  </si>
  <si>
    <t>부산광역시</t>
    <phoneticPr fontId="3" type="noConversion"/>
  </si>
  <si>
    <t>대구광역시</t>
    <phoneticPr fontId="3" type="noConversion"/>
  </si>
  <si>
    <t>인천광역시</t>
    <phoneticPr fontId="3" type="noConversion"/>
  </si>
  <si>
    <t>광주광역시</t>
    <phoneticPr fontId="3" type="noConversion"/>
  </si>
  <si>
    <t>대전광역시</t>
    <phoneticPr fontId="3" type="noConversion"/>
  </si>
  <si>
    <t>울산광역시</t>
    <phoneticPr fontId="3" type="noConversion"/>
  </si>
  <si>
    <t>경기도</t>
    <phoneticPr fontId="3" type="noConversion"/>
  </si>
  <si>
    <t>충청북도</t>
    <phoneticPr fontId="3" type="noConversion"/>
  </si>
  <si>
    <t>충청남도</t>
    <phoneticPr fontId="3" type="noConversion"/>
  </si>
  <si>
    <t>전라남도</t>
    <phoneticPr fontId="3" type="noConversion"/>
  </si>
  <si>
    <t>경상북도</t>
    <phoneticPr fontId="3" type="noConversion"/>
  </si>
  <si>
    <t>경상남도</t>
    <phoneticPr fontId="3" type="noConversion"/>
  </si>
  <si>
    <t>제주특별자치도</t>
    <phoneticPr fontId="3" type="noConversion"/>
  </si>
  <si>
    <t>[기준] 기간산출방식 : 말소일 - 사용승인일</t>
    <phoneticPr fontId="3" type="noConversion"/>
  </si>
  <si>
    <t>전체</t>
    <phoneticPr fontId="3" type="noConversion"/>
  </si>
  <si>
    <t>[기준] 기타 : 주거용(주용도) 기준 면적에서 상세용도 합 제외</t>
    <phoneticPr fontId="3" type="noConversion"/>
  </si>
  <si>
    <t>시도</t>
    <phoneticPr fontId="3" type="noConversion"/>
  </si>
  <si>
    <t>합계</t>
    <phoneticPr fontId="3" type="noConversion"/>
  </si>
  <si>
    <t>단독주택</t>
    <phoneticPr fontId="3" type="noConversion"/>
  </si>
  <si>
    <t>다중주택</t>
    <phoneticPr fontId="3" type="noConversion"/>
  </si>
  <si>
    <t>다가구주택</t>
    <phoneticPr fontId="3" type="noConversion"/>
  </si>
  <si>
    <t>공관</t>
    <phoneticPr fontId="3" type="noConversion"/>
  </si>
  <si>
    <t>아파트</t>
    <phoneticPr fontId="3" type="noConversion"/>
  </si>
  <si>
    <t>연립주택</t>
    <phoneticPr fontId="3" type="noConversion"/>
  </si>
  <si>
    <t>다세대</t>
    <phoneticPr fontId="3" type="noConversion"/>
  </si>
  <si>
    <t>기숙사</t>
    <phoneticPr fontId="3" type="noConversion"/>
  </si>
  <si>
    <t>기타</t>
    <phoneticPr fontId="3" type="noConversion"/>
  </si>
  <si>
    <t>동수</t>
    <phoneticPr fontId="3" type="noConversion"/>
  </si>
  <si>
    <t>연면적</t>
    <phoneticPr fontId="3" type="noConversion"/>
  </si>
  <si>
    <t>전국</t>
    <phoneticPr fontId="3" type="noConversion"/>
  </si>
  <si>
    <t>서울특별시</t>
    <phoneticPr fontId="4" type="noConversion"/>
  </si>
  <si>
    <t>부산광역시</t>
    <phoneticPr fontId="4" type="noConversion"/>
  </si>
  <si>
    <t>대구광역시</t>
    <phoneticPr fontId="4" type="noConversion"/>
  </si>
  <si>
    <t>인천광역시</t>
    <phoneticPr fontId="4" type="noConversion"/>
  </si>
  <si>
    <t>광주광역시</t>
    <phoneticPr fontId="4" type="noConversion"/>
  </si>
  <si>
    <t>대전광역시</t>
    <phoneticPr fontId="4" type="noConversion"/>
  </si>
  <si>
    <t>울산광역시</t>
    <phoneticPr fontId="4" type="noConversion"/>
  </si>
  <si>
    <t>세종특별자치시</t>
    <phoneticPr fontId="3" type="noConversion"/>
  </si>
  <si>
    <t>경기도</t>
    <phoneticPr fontId="4" type="noConversion"/>
  </si>
  <si>
    <t>충청북도</t>
    <phoneticPr fontId="4" type="noConversion"/>
  </si>
  <si>
    <t>충청남도</t>
    <phoneticPr fontId="4" type="noConversion"/>
  </si>
  <si>
    <t>전라남도</t>
    <phoneticPr fontId="4" type="noConversion"/>
  </si>
  <si>
    <t>경상북도</t>
    <phoneticPr fontId="4" type="noConversion"/>
  </si>
  <si>
    <t>경상남도</t>
    <phoneticPr fontId="4" type="noConversion"/>
  </si>
  <si>
    <t>제주특별자치도</t>
    <phoneticPr fontId="4" type="noConversion"/>
  </si>
  <si>
    <t>메트로시티 2단지</t>
  </si>
  <si>
    <t>해운대 힐스테이트 위브</t>
  </si>
  <si>
    <t>티-102동</t>
  </si>
  <si>
    <t>티-202동</t>
  </si>
  <si>
    <t>삼한골든뷰 센트럴파크</t>
  </si>
  <si>
    <t>시군구</t>
    <phoneticPr fontId="3" type="noConversion"/>
  </si>
  <si>
    <t>인구</t>
    <phoneticPr fontId="3" type="noConversion"/>
  </si>
  <si>
    <t>전체 건축물</t>
    <phoneticPr fontId="3" type="noConversion"/>
  </si>
  <si>
    <t>주거용 건축물</t>
    <phoneticPr fontId="3" type="noConversion"/>
  </si>
  <si>
    <t>건축물 연면적</t>
    <phoneticPr fontId="3" type="noConversion"/>
  </si>
  <si>
    <t>1인당 면적</t>
    <phoneticPr fontId="3" type="noConversion"/>
  </si>
  <si>
    <t>주거용 연면적</t>
    <phoneticPr fontId="3" type="noConversion"/>
  </si>
  <si>
    <t>건축물대장</t>
  </si>
  <si>
    <t>일산 요진 와이시티</t>
  </si>
  <si>
    <t>래미안 첼리투스</t>
  </si>
  <si>
    <t>롯데캐슬 캠퍼스타운</t>
  </si>
  <si>
    <t>롯데월드타워앤드롯데월드몰</t>
  </si>
  <si>
    <t>월드타워동</t>
  </si>
  <si>
    <t>포스코타워-송도</t>
  </si>
  <si>
    <t>공동주택A동</t>
  </si>
  <si>
    <t>기타</t>
    <phoneticPr fontId="3" type="noConversion"/>
  </si>
  <si>
    <t>디동</t>
  </si>
  <si>
    <t>송도아트윈푸르지오101</t>
  </si>
  <si>
    <t>송도아트윈푸르지오102</t>
  </si>
  <si>
    <t>노후 건축물 비율(%)</t>
    <phoneticPr fontId="3" type="noConversion"/>
  </si>
  <si>
    <t>엘시티</t>
  </si>
  <si>
    <t>랜드마크타워동</t>
  </si>
  <si>
    <t>타워비동</t>
  </si>
  <si>
    <t>타워에이동</t>
  </si>
  <si>
    <t>수성 범어W</t>
  </si>
  <si>
    <t>호반 써밋 광주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</si>
  <si>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</si>
  <si>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</si>
  <si>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</si>
  <si>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</si>
  <si>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</si>
  <si>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</si>
  <si>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</si>
  <si>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</si>
  <si>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</si>
  <si>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</si>
  <si>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</si>
  <si>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</si>
  <si>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</si>
  <si>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</si>
  <si>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</si>
  <si>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</si>
  <si>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</si>
  <si>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</si>
  <si>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</si>
  <si>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</si>
  <si>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</si>
  <si>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</si>
  <si>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</si>
  <si>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</si>
  <si>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</si>
  <si>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</si>
  <si>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</si>
  <si>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</si>
  <si>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</si>
  <si>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</si>
  <si>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</si>
  <si>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</si>
  <si>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</si>
  <si>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</si>
  <si>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</si>
  <si>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</si>
  <si>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</si>
  <si>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</si>
  <si>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</si>
  <si>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</si>
  <si>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</si>
  <si>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</si>
  <si>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</si>
  <si>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</si>
  <si>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</si>
  <si>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</si>
  <si>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</si>
  <si>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</si>
  <si>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</si>
  <si>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</si>
  <si>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</si>
  <si>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</si>
  <si>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</si>
  <si>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</si>
  <si>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</si>
  <si>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</si>
  <si>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</si>
  <si>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</si>
  <si>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</si>
  <si>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</si>
  <si>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</si>
  <si>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</si>
  <si>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</si>
  <si>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</si>
  <si>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</si>
  <si>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</si>
  <si>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</si>
  <si>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</si>
  <si>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</si>
  <si>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</si>
  <si>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수원시 장안구</t>
  </si>
  <si>
    <t>수원시 권선구</t>
  </si>
  <si>
    <t>수원시 팔달구</t>
  </si>
  <si>
    <t>수원시 영통구</t>
  </si>
  <si>
    <t>성남시 수정구</t>
  </si>
  <si>
    <t>성남시 중원구</t>
  </si>
  <si>
    <t>성남시 분당구</t>
  </si>
  <si>
    <t>의정부시</t>
  </si>
  <si>
    <t>안양시 만안구</t>
  </si>
  <si>
    <t>안양시 동안구</t>
  </si>
  <si>
    <t>부천시</t>
  </si>
  <si>
    <t>광명시</t>
  </si>
  <si>
    <t>평택시</t>
  </si>
  <si>
    <t>동두천시</t>
  </si>
  <si>
    <t>안산시 상록구</t>
  </si>
  <si>
    <t>안산시 단원구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</si>
  <si>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</si>
  <si>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</si>
  <si>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</si>
  <si>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</si>
  <si>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</si>
  <si>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</si>
  <si>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</si>
  <si>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</si>
  <si>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</si>
  <si>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</si>
  <si>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</si>
  <si>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</si>
  <si>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</si>
  <si>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</si>
  <si>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</si>
  <si>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</si>
  <si>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</si>
  <si>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</si>
  <si>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</si>
  <si>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</si>
  <si>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</si>
  <si>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</si>
  <si>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</si>
  <si>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</si>
  <si>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</si>
  <si>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</si>
  <si>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</si>
  <si>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</si>
  <si>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</si>
  <si>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</si>
  <si>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</si>
  <si>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</si>
  <si>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</si>
  <si>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</si>
  <si>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</si>
  <si>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</si>
  <si>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</si>
  <si>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</si>
  <si>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</si>
  <si>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</si>
  <si>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</si>
  <si>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</si>
  <si>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</si>
  <si>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</si>
  <si>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청주시 상당구</t>
  </si>
  <si>
    <t>청주시 서원구</t>
  </si>
  <si>
    <t>청주시 흥덕구</t>
  </si>
  <si>
    <t>청주시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</si>
  <si>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</si>
  <si>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</si>
  <si>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</si>
  <si>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</si>
  <si>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</si>
  <si>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</si>
  <si>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</si>
  <si>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</si>
  <si>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</si>
  <si>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</si>
  <si>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</si>
  <si>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</si>
  <si>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</si>
  <si>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</si>
  <si>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</si>
  <si>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</si>
  <si>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</si>
  <si>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</si>
  <si>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</si>
  <si>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</si>
  <si>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</si>
  <si>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</si>
  <si>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</si>
  <si>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</si>
  <si>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</si>
  <si>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</si>
  <si>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</si>
  <si>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</si>
  <si>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</si>
  <si>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</si>
  <si>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</si>
  <si>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</si>
  <si>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</si>
  <si>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</si>
  <si>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</si>
  <si>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</si>
  <si>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</si>
  <si>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</si>
  <si>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</si>
  <si>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</si>
  <si>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</si>
  <si>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</si>
  <si>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</si>
  <si>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</si>
  <si>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</si>
  <si>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</si>
  <si>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</si>
  <si>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</si>
  <si>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</si>
  <si>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</si>
  <si>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</si>
  <si>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</si>
  <si>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</si>
  <si>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</si>
  <si>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</si>
  <si>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</si>
  <si>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</si>
  <si>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</si>
  <si>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</si>
  <si>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</si>
  <si>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</si>
  <si>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</si>
  <si>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</si>
  <si>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</si>
  <si>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</si>
  <si>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</si>
  <si>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</si>
  <si>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</si>
  <si>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</si>
  <si>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</si>
  <si>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</si>
  <si>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</si>
  <si>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</si>
  <si>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</si>
  <si>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</si>
  <si>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</si>
  <si>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</si>
  <si>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</si>
  <si>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</si>
  <si>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</si>
  <si>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</si>
  <si>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</si>
  <si>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</si>
  <si>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</si>
  <si>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</si>
  <si>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</si>
  <si>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</si>
  <si>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 의창구</t>
  </si>
  <si>
    <t>창원시 성산구</t>
  </si>
  <si>
    <t>창원시 마산합포구</t>
  </si>
  <si>
    <t>창원시 마산회원구</t>
  </si>
  <si>
    <t>창원시 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</si>
  <si>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</si>
  <si>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</si>
  <si>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</si>
  <si>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</si>
  <si>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</si>
  <si>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</si>
  <si>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</si>
  <si>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</si>
  <si>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</si>
  <si>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</si>
  <si>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</si>
  <si>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</si>
  <si>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</si>
  <si>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</si>
  <si>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</si>
  <si>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</si>
  <si>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</si>
  <si>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</si>
  <si>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부산광역시 해운대구 중동 1829번지</t>
  </si>
  <si>
    <t>파크원</t>
  </si>
  <si>
    <t>타워1</t>
  </si>
  <si>
    <t>서울특별시 영등포구 여의도동 22번지</t>
  </si>
  <si>
    <t>부산광역시 남구 용호동 954번지</t>
  </si>
  <si>
    <t>인천광역시 연수구 송도동 6-9번지</t>
  </si>
  <si>
    <t>경기도 부천시 중동 1116번지</t>
  </si>
  <si>
    <t>현대자동차부지 특별계획구역 복합시설(GBC) 신축사업</t>
  </si>
  <si>
    <t>업무시설1</t>
  </si>
  <si>
    <t>부산광역시 서구 암남동 123-15번지</t>
  </si>
  <si>
    <t>호반써밋광주</t>
  </si>
  <si>
    <t>청주행정타운 코아루휴티스</t>
  </si>
  <si>
    <t>제주 드림타워 복합리조트</t>
  </si>
  <si>
    <t>더블유</t>
  </si>
  <si>
    <t>롯데캐슬 드메르</t>
  </si>
  <si>
    <t>공동주택C동</t>
  </si>
  <si>
    <t>나릿재마을 2단지</t>
  </si>
  <si>
    <t>근린생활시설</t>
  </si>
  <si>
    <t>협성마리나G7</t>
  </si>
  <si>
    <t>일산 두산위브더제니스</t>
  </si>
  <si>
    <t>청라 엑슬루타워</t>
  </si>
  <si>
    <t>NH금융타워(타워2)</t>
  </si>
  <si>
    <t>인천 소래논현구역 C10블록 에코메트로 3차 더 타워</t>
  </si>
  <si>
    <t>더클래식500</t>
  </si>
  <si>
    <t>힐스테이트이진베이시티아파트</t>
  </si>
  <si>
    <t>송악읍 고대리 당진1철강산업단지 C1블럭 공장 (현대제철 주식회사)</t>
  </si>
  <si>
    <t>27동 전기실 및 운전실</t>
  </si>
  <si>
    <t>아산배방지구 11BL 생활숙박시설 개발사업</t>
  </si>
  <si>
    <t>생활숙박시설,판매시설</t>
  </si>
  <si>
    <t>춘천 센트럴타워 푸르지오</t>
  </si>
  <si>
    <t>목포하당 중흥S-클래스 센텀뷰</t>
  </si>
  <si>
    <t>공동주택B동</t>
  </si>
  <si>
    <t>□ 건설중인 건축물 현황</t>
    <phoneticPr fontId="5" type="noConversion"/>
  </si>
  <si>
    <t>105</t>
  </si>
  <si>
    <t>서울특별시 송파구 신천동 29</t>
  </si>
  <si>
    <t>중동 18290000 숙박시설 (주식회사엘시티피이에프브이)</t>
  </si>
  <si>
    <t>부산광역시 해운대구 중동 1829</t>
  </si>
  <si>
    <t>대구광역시 수성구 두산동 113</t>
  </si>
  <si>
    <t>인천광역시 연수구 송도동 6-9</t>
  </si>
  <si>
    <t>광주광역시 서구 광천동 896</t>
  </si>
  <si>
    <t>대전광역시 대덕구 석봉동 770</t>
  </si>
  <si>
    <t>울산광역시 중구 옥교동 82-1</t>
  </si>
  <si>
    <t>경기도 부천시 중동 1116</t>
  </si>
  <si>
    <t>충청북도 청주시 상당구 북문로3가 123</t>
  </si>
  <si>
    <t>충청남도 천안시 서북구 불당동 1289</t>
  </si>
  <si>
    <t>전라남도 목포시 상동 860</t>
  </si>
  <si>
    <t>경상북도 포항시 북구 장성동 1612</t>
  </si>
  <si>
    <t>경상남도 창원시 마산회원구 양덕동 84-14</t>
  </si>
  <si>
    <t>제주특별자치도 제주시 노형동 925</t>
  </si>
  <si>
    <t>서울특별시</t>
  </si>
  <si>
    <t>123</t>
  </si>
  <si>
    <t>부산광역시</t>
  </si>
  <si>
    <t>101</t>
  </si>
  <si>
    <t>85</t>
  </si>
  <si>
    <t>80</t>
  </si>
  <si>
    <t>부산광역시 해운대구 우동 1407</t>
  </si>
  <si>
    <t>75</t>
  </si>
  <si>
    <t>72</t>
  </si>
  <si>
    <t>부산광역시 해운대구 우동 1408</t>
  </si>
  <si>
    <t>70</t>
  </si>
  <si>
    <t>69</t>
  </si>
  <si>
    <t>서울특별시 영등포구 여의도동 22</t>
  </si>
  <si>
    <t>부산광역시 남구 용호동 954</t>
  </si>
  <si>
    <t>서울특별시 강남구 도곡동 467-29</t>
  </si>
  <si>
    <t>서울특별시 양천구 목동 916</t>
  </si>
  <si>
    <t>인천광역시</t>
  </si>
  <si>
    <t>68</t>
  </si>
  <si>
    <t>경기도</t>
  </si>
  <si>
    <t>66</t>
  </si>
  <si>
    <t>충청남도</t>
  </si>
  <si>
    <t>경기도 화성시 반송동 98</t>
  </si>
  <si>
    <t>경기도 화성시 반송동 96</t>
  </si>
  <si>
    <t>서울특별시 강남구 도곡동 467</t>
  </si>
  <si>
    <t>64</t>
  </si>
  <si>
    <t>인천광역시 연수구 송도동 4-1</t>
  </si>
  <si>
    <t>63</t>
  </si>
  <si>
    <t>부산광역시 남구 문현동 1229-1</t>
  </si>
  <si>
    <t>61</t>
  </si>
  <si>
    <t>부산광역시 동구 초량동 부산항(북항) 재개발단지 D-1블록</t>
  </si>
  <si>
    <t>60</t>
  </si>
  <si>
    <t>인천광역시 연수구 송도동 33-1</t>
  </si>
  <si>
    <t>더샾 센텀스타</t>
  </si>
  <si>
    <t>부산광역시 해운대구 재송동 1196</t>
  </si>
  <si>
    <t>서울특별시 영등포구 여의도동 60</t>
  </si>
  <si>
    <t>59</t>
  </si>
  <si>
    <t>경기도 고양시 일산동구 백석동 1237</t>
  </si>
  <si>
    <t>경기도 고양시 일산서구 탄현동 1640</t>
  </si>
  <si>
    <t>58</t>
  </si>
  <si>
    <t>부산광역시 부산진구 범전동 450</t>
  </si>
  <si>
    <t>인천광역시 서구 청라동 150-1</t>
  </si>
  <si>
    <t>인천광역시 서구 청라동 154-1</t>
  </si>
  <si>
    <t>부산광역시 부산진구 부전동 537-9</t>
  </si>
  <si>
    <t>서울특별시 광진구 자양동 227-7</t>
  </si>
  <si>
    <t>57</t>
  </si>
  <si>
    <t>대구광역시</t>
  </si>
  <si>
    <t>103</t>
  </si>
  <si>
    <t>56</t>
  </si>
  <si>
    <t>서울특별시 용산구 이촌동 436</t>
  </si>
  <si>
    <t>서울특별시 영등포구 여의도동 23</t>
  </si>
  <si>
    <t>55</t>
  </si>
  <si>
    <t>인천광역시 연수구 송도동 149</t>
  </si>
  <si>
    <t>경상남도</t>
  </si>
  <si>
    <t>인천광역시 서구 청라동 164-1</t>
  </si>
  <si>
    <t>서울특별시 강남구 도곡동 467-17</t>
  </si>
  <si>
    <t>54</t>
  </si>
  <si>
    <t>울산광역시</t>
  </si>
  <si>
    <t>대구광역시 수성구 범어동 179</t>
  </si>
  <si>
    <t>서울특별시 강남구 삼성동 159</t>
  </si>
  <si>
    <t>53</t>
  </si>
  <si>
    <t>부산광역시 해운대구 중동 1818</t>
  </si>
  <si>
    <t>인천광역시 미추홀구 용현동 659</t>
  </si>
  <si>
    <t>인천광역시 미추홀구 학익동 732-3</t>
  </si>
  <si>
    <t>52</t>
  </si>
  <si>
    <t>부산광역시 동래구 온천동 178-7</t>
  </si>
  <si>
    <t>51</t>
  </si>
  <si>
    <t>인천광역시 남동구 논현동 751-1</t>
  </si>
  <si>
    <t>서울특별시 구로구 신도림동 692</t>
  </si>
  <si>
    <t>부산광역시 해운대구 우동 1523</t>
  </si>
  <si>
    <t>더샾 센텀파크 1차 아파트</t>
  </si>
  <si>
    <t>부산광역시 해운대구 재송동 1200</t>
  </si>
  <si>
    <t>서울특별시 강남구 도곡동 467-7</t>
  </si>
  <si>
    <t>50</t>
  </si>
  <si>
    <t>서울특별시 영등포구 여의도동 28-1</t>
  </si>
  <si>
    <t>201</t>
  </si>
  <si>
    <t>인천광역시 서구 청라동 159-1</t>
  </si>
  <si>
    <t>대전광역시</t>
  </si>
  <si>
    <t>인천광역시 남동구 논현동 766-1</t>
  </si>
  <si>
    <t>서울특별시 광진구 자양동 227-342</t>
  </si>
  <si>
    <t>더샾센텀파크2차아파트</t>
  </si>
  <si>
    <t>부산광역시 해운대구 재송동 1197</t>
  </si>
  <si>
    <t>1. 2023년 용도별 건축물 현황</t>
    <phoneticPr fontId="13" type="noConversion"/>
  </si>
  <si>
    <t>2. 2023년 주거용 건축물 현황</t>
    <phoneticPr fontId="13" type="noConversion"/>
  </si>
  <si>
    <t>3. 2023년 상업용 건축물 현황</t>
    <phoneticPr fontId="13" type="noConversion"/>
  </si>
  <si>
    <t>4. 2023년 고층 건축물 현황</t>
    <phoneticPr fontId="13" type="noConversion"/>
  </si>
  <si>
    <t xml:space="preserve">8. 2023년 1인당 건축물 현황 </t>
    <phoneticPr fontId="13" type="noConversion"/>
  </si>
  <si>
    <t>9. 2023년 국토면적 대비 건축물 현황</t>
    <phoneticPr fontId="13" type="noConversion"/>
  </si>
  <si>
    <t xml:space="preserve">8-2. 2023년 1인당 건축물 현황(시군구별) </t>
    <phoneticPr fontId="20" type="noConversion"/>
  </si>
  <si>
    <t>시도명</t>
  </si>
  <si>
    <t>합계</t>
  </si>
  <si>
    <t>광주광역시</t>
  </si>
  <si>
    <t>세종특별자치시</t>
  </si>
  <si>
    <t>강원특별자치도</t>
  </si>
  <si>
    <t>충청북도</t>
  </si>
  <si>
    <t>전라남도</t>
  </si>
  <si>
    <t>경상북도</t>
  </si>
  <si>
    <t>제주특별자치도</t>
  </si>
  <si>
    <t>(단위 : 동, ㎡)</t>
  </si>
  <si>
    <t>시도</t>
    <phoneticPr fontId="3" type="noConversion"/>
  </si>
  <si>
    <t>개인</t>
  </si>
  <si>
    <t>법인</t>
  </si>
  <si>
    <t>국공유</t>
  </si>
  <si>
    <t>동 수</t>
  </si>
  <si>
    <t>연면적</t>
  </si>
  <si>
    <t>1백㎡미만</t>
  </si>
  <si>
    <t>1백㎡~2백㎡미만</t>
  </si>
  <si>
    <t>2백㎡~3백㎡미만</t>
  </si>
  <si>
    <t>3백㎡~5백㎡미만</t>
  </si>
  <si>
    <t>5백㎡~1천㎡미만</t>
  </si>
  <si>
    <t>1천㎡~3천㎡미만</t>
  </si>
  <si>
    <t>3천㎡~1만㎡미만</t>
  </si>
  <si>
    <t>1만㎡이상</t>
  </si>
  <si>
    <r>
      <t>[기준] 국토면적 : 국가통계포털 행정구역별</t>
    </r>
    <r>
      <rPr>
        <sz val="12"/>
        <color rgb="FF0000FF"/>
        <rFont val="MS Gothic"/>
        <family val="3"/>
        <charset val="128"/>
      </rPr>
      <t>・</t>
    </r>
    <r>
      <rPr>
        <sz val="12"/>
        <color rgb="FF0000FF"/>
        <rFont val="돋움"/>
        <family val="3"/>
        <charset val="129"/>
      </rPr>
      <t xml:space="preserve">지목별 국토이용현황(2022년 기준) 참고(https://kosis.kr/) </t>
    </r>
    <phoneticPr fontId="3" type="noConversion"/>
  </si>
  <si>
    <t>[기준] 인구수 : 행정안전부 2023년 12월 주민등록 인구 및 세대현황 참조(https://jumin.mois.go.kr)</t>
    <phoneticPr fontId="20" type="noConversion"/>
  </si>
  <si>
    <t>[기준] 인구수 : 행정안전부 2023년 12월 주민등록 인구 및 세대현황 참조(https://jumin.mois.go.kr)</t>
    <phoneticPr fontId="20" type="noConversion"/>
  </si>
  <si>
    <t>강원특별자치도</t>
    <phoneticPr fontId="4" type="noConversion"/>
  </si>
  <si>
    <t>강원특별자치도</t>
    <phoneticPr fontId="32" type="noConversion"/>
  </si>
  <si>
    <t>강원특별자치도</t>
    <phoneticPr fontId="3" type="noConversion"/>
  </si>
  <si>
    <t>강원</t>
    <phoneticPr fontId="20" type="noConversion"/>
  </si>
  <si>
    <t>강원특별자치도</t>
    <phoneticPr fontId="4" type="noConversion"/>
  </si>
  <si>
    <t>강원특별자치도</t>
    <phoneticPr fontId="4" type="noConversion"/>
  </si>
  <si>
    <t>강원특별자치도</t>
    <phoneticPr fontId="4" type="noConversion"/>
  </si>
  <si>
    <t>대구</t>
    <phoneticPr fontId="20" type="noConversion"/>
  </si>
  <si>
    <t>포레나 전주에코시티</t>
  </si>
  <si>
    <t>대구광역시 수성구 범어동 2291</t>
  </si>
  <si>
    <t>48</t>
  </si>
  <si>
    <t>49</t>
  </si>
  <si>
    <t>세종특별자치시  나성동 853</t>
  </si>
  <si>
    <t>강원특별자치도 춘천시 온의동 601</t>
  </si>
  <si>
    <t>45</t>
  </si>
  <si>
    <t>전라북도 전주시 덕진구 송천동2가 1313</t>
  </si>
  <si>
    <t>38</t>
  </si>
  <si>
    <t>부산광역시 서구 암남동 775</t>
  </si>
  <si>
    <t>청량리역 한양수자인 그라시엘</t>
  </si>
  <si>
    <t>서울특별시 동대문구 용두동 39-1</t>
  </si>
  <si>
    <t>오피스텔 102동</t>
  </si>
  <si>
    <t>오피스텔 105동</t>
  </si>
  <si>
    <t>오피스텔 101동</t>
  </si>
  <si>
    <t>오피스텔 103동</t>
  </si>
  <si>
    <t>에프케이아이타워</t>
  </si>
  <si>
    <t xml:space="preserve">노유자시설동 </t>
  </si>
  <si>
    <t>서울특별시</t>
    <phoneticPr fontId="4" type="noConversion"/>
  </si>
  <si>
    <t>부산광역시</t>
    <phoneticPr fontId="4" type="noConversion"/>
  </si>
  <si>
    <t>부산광역시</t>
    <phoneticPr fontId="4" type="noConversion"/>
  </si>
  <si>
    <t>인천광역시</t>
    <phoneticPr fontId="4" type="noConversion"/>
  </si>
  <si>
    <t>인천광역시</t>
    <phoneticPr fontId="4" type="noConversion"/>
  </si>
  <si>
    <t>경기도</t>
    <phoneticPr fontId="4" type="noConversion"/>
  </si>
  <si>
    <t>대구광역시</t>
    <phoneticPr fontId="4" type="noConversion"/>
  </si>
  <si>
    <t>경기도</t>
    <phoneticPr fontId="4" type="noConversion"/>
  </si>
  <si>
    <t>울산광역시</t>
    <phoneticPr fontId="4" type="noConversion"/>
  </si>
  <si>
    <t>대구광역시</t>
    <phoneticPr fontId="4" type="noConversion"/>
  </si>
  <si>
    <t>대전광역시</t>
    <phoneticPr fontId="4" type="noConversion"/>
  </si>
  <si>
    <t>서울특별시 강남구 삼성동 167</t>
  </si>
  <si>
    <t>98</t>
  </si>
  <si>
    <t>충청남도 당진시 송악읍 당진1철강산업단지 C1블럭</t>
  </si>
  <si>
    <t>충청남도 아산시 배방읍 장재리 1733</t>
  </si>
  <si>
    <t>부산 동구 범일동 주거복합</t>
  </si>
  <si>
    <t>102동(아파트)</t>
  </si>
  <si>
    <t>부산광역시 동구 범일동 330-226</t>
  </si>
  <si>
    <t>101동(아파트)</t>
  </si>
  <si>
    <t>부산광역시 동구 초량동 부산항(북항) 재개발사업지 내 상업업무지구 D-3블록</t>
  </si>
  <si>
    <t>서울시 영등포구 여의도동 23-4 복합시설</t>
  </si>
  <si>
    <t>서울특별시 영등포구 여의도동 23-4</t>
  </si>
  <si>
    <t>서울숲 e편한세상</t>
  </si>
  <si>
    <t>서울특별시 성동구 성수동1가 685-700</t>
  </si>
  <si>
    <t>대전광역시 유성구 용산동 579</t>
  </si>
  <si>
    <t>[1] 자료기준일 : 2023.12.31</t>
    <phoneticPr fontId="13" type="noConversion"/>
  </si>
  <si>
    <t xml:space="preserve">  2. 사용승인일 : ~ 2023.12.31</t>
    <phoneticPr fontId="13" type="noConversion"/>
  </si>
  <si>
    <t xml:space="preserve">          20년이상-25년미만(2000년-2004년), 25년이상-30년미만(1995년-1999년), 30년이상-35년미만(1990년-1994년), 35년이상(~1989년)</t>
    <phoneticPr fontId="3" type="noConversion"/>
  </si>
  <si>
    <t>[기준] 10년미만(2015년-2023년), 10년이상-15년미만(2010년-2014년), 15년이상-20년미만(2005년-2009년)</t>
    <phoneticPr fontId="8" type="noConversion"/>
  </si>
  <si>
    <t xml:space="preserve">          20년이상-25년미만(2000년-2004년), 25년이상-30년미만(1995년-1999년), 30년이상-35년미만(1990년-1994년), 35년이상(~1989년)</t>
    <phoneticPr fontId="3" type="noConversion"/>
  </si>
  <si>
    <t>8-1. 2023년 1인당 건축물 현황(시도별)</t>
    <phoneticPr fontId="5" type="noConversion"/>
  </si>
  <si>
    <t>11~20층</t>
    <phoneticPr fontId="3" type="noConversion"/>
  </si>
  <si>
    <t>서울특별시</t>
    <phoneticPr fontId="3" type="noConversion"/>
  </si>
  <si>
    <t>부산광역시</t>
    <phoneticPr fontId="3" type="noConversion"/>
  </si>
  <si>
    <t>대구광역시</t>
    <phoneticPr fontId="3" type="noConversion"/>
  </si>
  <si>
    <t>인천광역시</t>
    <phoneticPr fontId="3" type="noConversion"/>
  </si>
  <si>
    <t>광주광역시</t>
    <phoneticPr fontId="3" type="noConversion"/>
  </si>
  <si>
    <t>대전광역시</t>
    <phoneticPr fontId="3" type="noConversion"/>
  </si>
  <si>
    <t>울산광역시</t>
    <phoneticPr fontId="3" type="noConversion"/>
  </si>
  <si>
    <t>세종특별자치시</t>
    <phoneticPr fontId="3" type="noConversion"/>
  </si>
  <si>
    <t>경기도</t>
    <phoneticPr fontId="3" type="noConversion"/>
  </si>
  <si>
    <t>강원특별자치도</t>
    <phoneticPr fontId="3" type="noConversion"/>
  </si>
  <si>
    <t>충청북도</t>
    <phoneticPr fontId="3" type="noConversion"/>
  </si>
  <si>
    <t>충청남도</t>
    <phoneticPr fontId="3" type="noConversion"/>
  </si>
  <si>
    <t>전라남도</t>
    <phoneticPr fontId="3" type="noConversion"/>
  </si>
  <si>
    <t>경상북도</t>
    <phoneticPr fontId="3" type="noConversion"/>
  </si>
  <si>
    <t>제주특별자치도</t>
    <phoneticPr fontId="3" type="noConversion"/>
  </si>
  <si>
    <t>시도명</t>
    <phoneticPr fontId="3" type="noConversion"/>
  </si>
  <si>
    <t>합계</t>
    <phoneticPr fontId="3" type="noConversion"/>
  </si>
  <si>
    <t>1층</t>
    <phoneticPr fontId="3" type="noConversion"/>
  </si>
  <si>
    <t>2~4층</t>
    <phoneticPr fontId="3" type="noConversion"/>
  </si>
  <si>
    <t>5층</t>
    <phoneticPr fontId="3" type="noConversion"/>
  </si>
  <si>
    <t>6~10층</t>
    <phoneticPr fontId="3" type="noConversion"/>
  </si>
  <si>
    <t>21~30층</t>
    <phoneticPr fontId="3" type="noConversion"/>
  </si>
  <si>
    <t>31 ~ 49층</t>
    <phoneticPr fontId="3" type="noConversion"/>
  </si>
  <si>
    <t>50층 이상</t>
    <phoneticPr fontId="3" type="noConversion"/>
  </si>
  <si>
    <t>기타</t>
    <phoneticPr fontId="3" type="noConversion"/>
  </si>
  <si>
    <t>강원특별자치도</t>
    <phoneticPr fontId="4" type="noConversion"/>
  </si>
  <si>
    <t>(단위 : ㎡)</t>
    <phoneticPr fontId="3" type="noConversion"/>
  </si>
  <si>
    <t>(단위 : 동)</t>
    <phoneticPr fontId="3" type="noConversion"/>
  </si>
  <si>
    <t>(단위 : 동)</t>
    <phoneticPr fontId="3" type="noConversion"/>
  </si>
  <si>
    <t>교육 및 사회용</t>
    <phoneticPr fontId="3" type="noConversion"/>
  </si>
  <si>
    <t>교육 및 사회용</t>
    <phoneticPr fontId="9" type="noConversion"/>
  </si>
  <si>
    <t>교육 및 사회용</t>
    <phoneticPr fontId="9" type="noConversion"/>
  </si>
  <si>
    <t>교육 및 사회용</t>
    <phoneticPr fontId="4" type="noConversion"/>
  </si>
  <si>
    <t>[기준] 10년미만(2015년-2023년), 10년이상-15년미만(2010년-2014년), 15년이상-20년미만(2005년-2009년)</t>
    <phoneticPr fontId="8" type="noConversion"/>
  </si>
  <si>
    <t>전북특별자치도</t>
    <phoneticPr fontId="4" type="noConversion"/>
  </si>
  <si>
    <t>전북특별자치도</t>
    <phoneticPr fontId="3" type="noConversion"/>
  </si>
  <si>
    <t xml:space="preserve">    2.1 (말소건축물) 말소일 : 2023.1.1 ~ 2023.12.31</t>
    <phoneticPr fontId="13" type="noConversion"/>
  </si>
  <si>
    <t>5. 2023년 경과년수별 건축물 현황</t>
    <phoneticPr fontId="13" type="noConversion"/>
  </si>
  <si>
    <t>6. 2023년 말소 건축물 용도별 현황</t>
    <phoneticPr fontId="13" type="noConversion"/>
  </si>
  <si>
    <t>7. 2023년 층수, 면적, 소유주체별 현황</t>
    <phoneticPr fontId="13" type="noConversion"/>
  </si>
  <si>
    <t>5-1. 2023년 경과년수별 건축물 현황</t>
    <phoneticPr fontId="8" type="noConversion"/>
  </si>
  <si>
    <t>5-2. 2023년 30년이상 건축물 현황(시군구별)</t>
    <phoneticPr fontId="20" type="noConversion"/>
  </si>
  <si>
    <t>7-1. 2023년 층수별 현황</t>
    <phoneticPr fontId="32" type="noConversion"/>
  </si>
  <si>
    <t>7-2. 2023년 면적별 현황</t>
    <phoneticPr fontId="32" type="noConversion"/>
  </si>
  <si>
    <t>7-3. 2023년 소유주체별 현황</t>
    <phoneticPr fontId="32" type="noConversion"/>
  </si>
  <si>
    <t>[기준] 기타 : 사용승일일(항목) 값 누락 또는 오기</t>
    <phoneticPr fontId="3" type="noConversion"/>
  </si>
  <si>
    <t>30년 이상 건축물 연면적</t>
    <phoneticPr fontId="3" type="noConversion"/>
  </si>
  <si>
    <t>[기준] 30년 이상 건축물 : 사용승인 30년이상 경과(~1994년)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</si>
</sst>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0.0%"/>
    <numFmt numFmtId="177" formatCode="_ * #,##0_ ;_ * \-#,##0_ ;_ * &quot;-&quot;_ ;_ @_ "/>
    <numFmt numFmtId="178" formatCode="_ * #,##0.00_ ;_ * \-#,##0.00_ ;_ * &quot;-&quot;??_ ;_ @_ "/>
    <numFmt numFmtId="179" formatCode="&quot;₩&quot;#,##0;&quot;₩&quot;&quot;₩&quot;&quot;₩&quot;&quot;₩&quot;&quot;₩&quot;&quot;₩&quot;&quot;₩&quot;&quot;₩&quot;\-#,##0"/>
    <numFmt numFmtId="180" formatCode="&quot;₩&quot;#,##0.00;&quot;₩&quot;&quot;₩&quot;&quot;₩&quot;&quot;₩&quot;&quot;₩&quot;&quot;₩&quot;&quot;₩&quot;&quot;₩&quot;\-#,##0.00"/>
    <numFmt numFmtId="181" formatCode="&quot;₩&quot;#,##0;[Red]&quot;₩&quot;&quot;₩&quot;\-#,##0"/>
    <numFmt numFmtId="182" formatCode="&quot;₩&quot;#,##0.00;[Red]&quot;₩&quot;&quot;₩&quot;&quot;₩&quot;&quot;₩&quot;&quot;₩&quot;&quot;₩&quot;\-#,##0.00"/>
    <numFmt numFmtId="183" formatCode="_-* #,##0.0000_-;\-* #,##0.0000_-;_-* &quot;-&quot;_-;_-@_-"/>
    <numFmt numFmtId="184" formatCode="#,##0_ ;[Red]\-#,##0\ "/>
    <numFmt numFmtId="185" formatCode="#,##0.00_ ;[Red]\-#,##0.00\ "/>
    <numFmt numFmtId="186" formatCode="#,##0.0_ ;[Red]\-#,##0.0\ "/>
    <numFmt numFmtId="187" formatCode="#,##0_ "/>
    <numFmt numFmtId="188" formatCode="0.0_);[Red]\(0.0\)"/>
    <numFmt numFmtId="189" formatCode="#,##0.00_ "/>
    <numFmt numFmtId="190" formatCode="#,##0.0_ "/>
  </numFmts>
  <fonts count="40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굴림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2"/>
      <name val="뼻뮝"/>
      <family val="1"/>
      <charset val="129"/>
    </font>
    <font>
      <sz val="10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theme="3"/>
      <name val="돋움"/>
      <family val="3"/>
      <charset val="129"/>
    </font>
    <font>
      <b/>
      <sz val="20"/>
      <color theme="1"/>
      <name val="돋움"/>
      <family val="3"/>
      <charset val="129"/>
    </font>
    <font>
      <b/>
      <sz val="14"/>
      <color theme="1"/>
      <name val="돋움"/>
      <family val="3"/>
      <charset val="129"/>
    </font>
    <font>
      <b/>
      <sz val="12"/>
      <color rgb="FF0000FF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rgb="FF0000FF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2"/>
      <color rgb="FF0000FF"/>
      <name val="MS Gothic"/>
      <family val="3"/>
      <charset val="128"/>
    </font>
    <font>
      <sz val="8"/>
      <name val="맑은 고딕"/>
      <family val="3"/>
      <charset val="129"/>
      <scheme val="minor"/>
    </font>
    <font>
      <b/>
      <sz val="11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name val="맑은 고딕"/>
      <family val="3"/>
      <charset val="129"/>
    </font>
    <font>
      <sz val="11"/>
      <color rgb="FF303031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177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0" fontId="14" fillId="0" borderId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1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5" fillId="0" borderId="0">
      <alignment vertical="center"/>
    </xf>
  </cellStyleXfs>
  <cellXfs count="129">
    <xf numFmtId="0" fontId="0" fillId="0" borderId="0" xfId="0">
      <alignment vertical="center"/>
    </xf>
    <xf numFmtId="0" fontId="11" fillId="0" borderId="0" xfId="0" applyFont="1">
      <alignment vertical="center"/>
    </xf>
    <xf numFmtId="0" fontId="21" fillId="0" borderId="0" xfId="36">
      <alignment vertical="center"/>
    </xf>
    <xf numFmtId="0" fontId="11" fillId="0" borderId="0" xfId="0" applyFont="1" applyAlignment="1">
      <alignment vertical="center"/>
    </xf>
    <xf numFmtId="0" fontId="22" fillId="0" borderId="0" xfId="40" applyFont="1">
      <alignment vertical="center"/>
    </xf>
    <xf numFmtId="0" fontId="12" fillId="0" borderId="0" xfId="40" applyFont="1">
      <alignment vertical="center"/>
    </xf>
    <xf numFmtId="0" fontId="23" fillId="0" borderId="0" xfId="40" applyFont="1" applyAlignment="1">
      <alignment horizontal="center" vertical="center"/>
    </xf>
    <xf numFmtId="0" fontId="24" fillId="0" borderId="0" xfId="40" applyFont="1">
      <alignment vertical="center"/>
    </xf>
    <xf numFmtId="0" fontId="25" fillId="0" borderId="0" xfId="0" applyFont="1">
      <alignment vertical="center"/>
    </xf>
    <xf numFmtId="0" fontId="24" fillId="0" borderId="0" xfId="40" applyFont="1" applyAlignment="1">
      <alignment horizontal="left" vertical="center"/>
    </xf>
    <xf numFmtId="0" fontId="16" fillId="0" borderId="0" xfId="0" applyFont="1">
      <alignment vertical="center"/>
    </xf>
    <xf numFmtId="0" fontId="26" fillId="0" borderId="0" xfId="0" applyFont="1" applyAlignment="1">
      <alignment horizontal="right" vertical="center"/>
    </xf>
    <xf numFmtId="183" fontId="16" fillId="0" borderId="0" xfId="0" applyNumberFormat="1" applyFont="1">
      <alignment vertical="center"/>
    </xf>
    <xf numFmtId="41" fontId="17" fillId="0" borderId="1" xfId="15" applyFont="1" applyFill="1" applyBorder="1" applyAlignment="1">
      <alignment horizontal="center" vertical="center"/>
    </xf>
    <xf numFmtId="41" fontId="17" fillId="0" borderId="1" xfId="43" applyNumberFormat="1" applyFont="1" applyFill="1" applyBorder="1" applyAlignment="1">
      <alignment horizontal="center" vertical="center"/>
    </xf>
    <xf numFmtId="41" fontId="17" fillId="0" borderId="2" xfId="15" applyFont="1" applyFill="1" applyBorder="1" applyAlignment="1">
      <alignment horizontal="center" vertical="center"/>
    </xf>
    <xf numFmtId="0" fontId="17" fillId="0" borderId="1" xfId="43" applyFont="1" applyFill="1" applyBorder="1" applyAlignment="1">
      <alignment horizontal="center" vertical="center"/>
    </xf>
    <xf numFmtId="184" fontId="17" fillId="0" borderId="1" xfId="15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27" fillId="0" borderId="0" xfId="0" applyFont="1">
      <alignment vertical="center"/>
    </xf>
    <xf numFmtId="0" fontId="16" fillId="0" borderId="0" xfId="0" applyFont="1" applyFill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6" fillId="0" borderId="0" xfId="35" applyFont="1" applyFill="1" applyBorder="1" applyAlignment="1">
      <alignment vertical="center"/>
    </xf>
    <xf numFmtId="0" fontId="16" fillId="0" borderId="0" xfId="35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4" fillId="0" borderId="0" xfId="40" applyFont="1" applyFill="1">
      <alignment vertical="center"/>
    </xf>
    <xf numFmtId="0" fontId="27" fillId="0" borderId="0" xfId="0" applyFont="1" applyFill="1">
      <alignment vertical="center"/>
    </xf>
    <xf numFmtId="0" fontId="17" fillId="0" borderId="1" xfId="0" applyNumberFormat="1" applyFont="1" applyFill="1" applyBorder="1" applyAlignment="1">
      <alignment horizontal="center" vertical="center"/>
    </xf>
    <xf numFmtId="41" fontId="17" fillId="0" borderId="1" xfId="19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0" fontId="26" fillId="0" borderId="0" xfId="41" applyFont="1" applyFill="1">
      <alignment vertical="center"/>
    </xf>
    <xf numFmtId="184" fontId="17" fillId="0" borderId="1" xfId="0" applyNumberFormat="1" applyFont="1" applyFill="1" applyBorder="1" applyAlignment="1">
      <alignment horizontal="right" vertical="center"/>
    </xf>
    <xf numFmtId="185" fontId="17" fillId="0" borderId="1" xfId="15" applyNumberFormat="1" applyFont="1" applyFill="1" applyBorder="1" applyAlignment="1">
      <alignment horizontal="right" vertical="center"/>
    </xf>
    <xf numFmtId="0" fontId="26" fillId="0" borderId="0" xfId="0" applyFont="1" applyFill="1" applyAlignment="1">
      <alignment horizontal="right" vertical="center"/>
    </xf>
    <xf numFmtId="0" fontId="27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9" fillId="0" borderId="0" xfId="0" applyNumberFormat="1" applyFont="1" applyFill="1" applyBorder="1" applyAlignment="1"/>
    <xf numFmtId="0" fontId="29" fillId="0" borderId="0" xfId="0" applyFont="1">
      <alignment vertical="center"/>
    </xf>
    <xf numFmtId="184" fontId="16" fillId="0" borderId="0" xfId="0" applyNumberFormat="1" applyFont="1">
      <alignment vertical="center"/>
    </xf>
    <xf numFmtId="49" fontId="16" fillId="0" borderId="0" xfId="0" applyNumberFormat="1" applyFont="1" applyAlignment="1">
      <alignment vertical="center"/>
    </xf>
    <xf numFmtId="176" fontId="16" fillId="0" borderId="0" xfId="6" applyNumberFormat="1" applyFont="1" applyFill="1" applyAlignment="1">
      <alignment vertical="center"/>
    </xf>
    <xf numFmtId="184" fontId="11" fillId="0" borderId="0" xfId="0" applyNumberFormat="1" applyFont="1">
      <alignment vertical="center"/>
    </xf>
    <xf numFmtId="184" fontId="29" fillId="0" borderId="0" xfId="0" applyNumberFormat="1" applyFont="1">
      <alignment vertical="center"/>
    </xf>
    <xf numFmtId="184" fontId="29" fillId="0" borderId="0" xfId="0" applyNumberFormat="1" applyFont="1" applyFill="1" applyBorder="1" applyAlignment="1"/>
    <xf numFmtId="184" fontId="16" fillId="0" borderId="0" xfId="0" applyNumberFormat="1" applyFont="1" applyFill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28" fillId="0" borderId="0" xfId="33" applyFont="1" applyFill="1" applyBorder="1" applyAlignment="1">
      <alignment horizontal="center" vertical="center"/>
    </xf>
    <xf numFmtId="0" fontId="28" fillId="0" borderId="0" xfId="33" applyFont="1" applyFill="1" applyBorder="1">
      <alignment vertical="center"/>
    </xf>
    <xf numFmtId="187" fontId="11" fillId="0" borderId="0" xfId="0" applyNumberFormat="1" applyFont="1">
      <alignment vertical="center"/>
    </xf>
    <xf numFmtId="187" fontId="16" fillId="0" borderId="0" xfId="0" applyNumberFormat="1" applyFont="1">
      <alignment vertical="center"/>
    </xf>
    <xf numFmtId="187" fontId="29" fillId="0" borderId="0" xfId="0" applyNumberFormat="1" applyFont="1" applyFill="1" applyBorder="1" applyAlignment="1"/>
    <xf numFmtId="188" fontId="17" fillId="0" borderId="1" xfId="6" applyNumberFormat="1" applyFont="1" applyFill="1" applyBorder="1" applyAlignment="1">
      <alignment horizontal="right" vertical="center"/>
    </xf>
    <xf numFmtId="0" fontId="0" fillId="0" borderId="0" xfId="0" applyNumberFormat="1">
      <alignment vertical="center"/>
    </xf>
    <xf numFmtId="0" fontId="33" fillId="0" borderId="0" xfId="0" applyFont="1">
      <alignment vertical="center"/>
    </xf>
    <xf numFmtId="0" fontId="34" fillId="0" borderId="0" xfId="0" applyFont="1" applyAlignment="1">
      <alignment vertical="center"/>
    </xf>
    <xf numFmtId="184" fontId="17" fillId="3" borderId="1" xfId="15" applyNumberFormat="1" applyFont="1" applyFill="1" applyBorder="1" applyAlignment="1">
      <alignment horizontal="right" vertical="center"/>
    </xf>
    <xf numFmtId="3" fontId="17" fillId="3" borderId="1" xfId="0" applyNumberFormat="1" applyFont="1" applyFill="1" applyBorder="1" applyAlignment="1">
      <alignment horizontal="right" vertical="center"/>
    </xf>
    <xf numFmtId="1" fontId="0" fillId="0" borderId="0" xfId="0" applyNumberFormat="1">
      <alignment vertical="center"/>
    </xf>
    <xf numFmtId="184" fontId="26" fillId="0" borderId="1" xfId="15" applyNumberFormat="1" applyFont="1" applyFill="1" applyBorder="1" applyAlignment="1">
      <alignment horizontal="right" vertical="center"/>
    </xf>
    <xf numFmtId="41" fontId="17" fillId="0" borderId="3" xfId="43" applyNumberFormat="1" applyFont="1" applyFill="1" applyBorder="1" applyAlignment="1">
      <alignment horizontal="center" vertical="center"/>
    </xf>
    <xf numFmtId="0" fontId="17" fillId="0" borderId="3" xfId="43" applyFont="1" applyFill="1" applyBorder="1" applyAlignment="1">
      <alignment horizontal="center" vertical="center"/>
    </xf>
    <xf numFmtId="0" fontId="17" fillId="0" borderId="8" xfId="43" applyFont="1" applyFill="1" applyBorder="1" applyAlignment="1">
      <alignment horizontal="center" vertical="center"/>
    </xf>
    <xf numFmtId="41" fontId="17" fillId="0" borderId="8" xfId="43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41" fontId="17" fillId="0" borderId="1" xfId="15" applyFont="1" applyFill="1" applyBorder="1" applyAlignment="1">
      <alignment horizontal="right" vertical="center"/>
    </xf>
    <xf numFmtId="41" fontId="26" fillId="0" borderId="1" xfId="15" applyFont="1" applyFill="1" applyBorder="1">
      <alignment vertical="center"/>
    </xf>
    <xf numFmtId="0" fontId="17" fillId="0" borderId="1" xfId="0" applyFont="1" applyFill="1" applyBorder="1" applyAlignment="1">
      <alignment horizontal="center" vertical="center"/>
    </xf>
    <xf numFmtId="184" fontId="26" fillId="0" borderId="1" xfId="0" applyNumberFormat="1" applyFont="1" applyFill="1" applyBorder="1">
      <alignment vertical="center"/>
    </xf>
    <xf numFmtId="176" fontId="26" fillId="0" borderId="1" xfId="8" applyNumberFormat="1" applyFont="1" applyFill="1" applyBorder="1">
      <alignment vertical="center"/>
    </xf>
    <xf numFmtId="0" fontId="36" fillId="0" borderId="1" xfId="0" applyFont="1" applyFill="1" applyBorder="1" applyAlignment="1">
      <alignment horizontal="center" vertical="center"/>
    </xf>
    <xf numFmtId="3" fontId="36" fillId="0" borderId="1" xfId="0" applyNumberFormat="1" applyFont="1" applyFill="1" applyBorder="1" applyAlignment="1">
      <alignment horizontal="right" vertical="center"/>
    </xf>
    <xf numFmtId="0" fontId="37" fillId="2" borderId="1" xfId="43" applyFont="1" applyFill="1" applyBorder="1" applyAlignment="1">
      <alignment horizontal="center" vertical="center"/>
    </xf>
    <xf numFmtId="0" fontId="17" fillId="0" borderId="1" xfId="35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17" fillId="0" borderId="1" xfId="35" applyFont="1" applyFill="1" applyBorder="1" applyAlignment="1">
      <alignment vertical="center"/>
    </xf>
    <xf numFmtId="0" fontId="17" fillId="0" borderId="1" xfId="35" applyFont="1" applyFill="1" applyBorder="1" applyAlignment="1">
      <alignment horizontal="center" vertical="center"/>
    </xf>
    <xf numFmtId="0" fontId="26" fillId="0" borderId="1" xfId="27" applyFont="1" applyFill="1" applyBorder="1">
      <alignment vertical="center"/>
    </xf>
    <xf numFmtId="0" fontId="26" fillId="0" borderId="0" xfId="27" applyFont="1" applyFill="1">
      <alignment vertical="center"/>
    </xf>
    <xf numFmtId="0" fontId="37" fillId="2" borderId="1" xfId="0" applyFont="1" applyFill="1" applyBorder="1" applyAlignment="1">
      <alignment horizontal="center" vertical="center"/>
    </xf>
    <xf numFmtId="49" fontId="37" fillId="2" borderId="1" xfId="0" applyNumberFormat="1" applyFont="1" applyFill="1" applyBorder="1" applyAlignment="1">
      <alignment horizontal="center" vertical="center"/>
    </xf>
    <xf numFmtId="0" fontId="26" fillId="0" borderId="1" xfId="33" applyFont="1" applyBorder="1" applyAlignment="1">
      <alignment horizontal="center" vertical="center"/>
    </xf>
    <xf numFmtId="0" fontId="26" fillId="0" borderId="1" xfId="33" applyFont="1" applyBorder="1">
      <alignment vertical="center"/>
    </xf>
    <xf numFmtId="0" fontId="17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37" fillId="2" borderId="1" xfId="0" applyNumberFormat="1" applyFont="1" applyFill="1" applyBorder="1" applyAlignment="1">
      <alignment horizontal="left" vertical="center"/>
    </xf>
    <xf numFmtId="49" fontId="17" fillId="0" borderId="1" xfId="35" applyNumberFormat="1" applyFont="1" applyBorder="1" applyAlignment="1">
      <alignment horizontal="left" vertical="center"/>
    </xf>
    <xf numFmtId="49" fontId="26" fillId="0" borderId="0" xfId="27" applyNumberFormat="1" applyFont="1" applyFill="1" applyAlignment="1">
      <alignment horizontal="left" vertical="center"/>
    </xf>
    <xf numFmtId="49" fontId="17" fillId="0" borderId="1" xfId="35" applyNumberFormat="1" applyFont="1" applyFill="1" applyBorder="1" applyAlignment="1">
      <alignment horizontal="left" vertical="center"/>
    </xf>
    <xf numFmtId="49" fontId="16" fillId="0" borderId="0" xfId="35" applyNumberFormat="1" applyFont="1" applyBorder="1" applyAlignment="1">
      <alignment horizontal="left" vertical="center"/>
    </xf>
    <xf numFmtId="49" fontId="26" fillId="0" borderId="1" xfId="33" applyNumberFormat="1" applyFont="1" applyBorder="1" applyAlignment="1">
      <alignment horizontal="left" vertical="center"/>
    </xf>
    <xf numFmtId="49" fontId="28" fillId="0" borderId="0" xfId="33" applyNumberFormat="1" applyFont="1" applyFill="1" applyBorder="1" applyAlignment="1">
      <alignment horizontal="left" vertical="center"/>
    </xf>
    <xf numFmtId="49" fontId="17" fillId="0" borderId="1" xfId="0" applyNumberFormat="1" applyFont="1" applyFill="1" applyBorder="1" applyAlignment="1">
      <alignment horizontal="left" vertical="center"/>
    </xf>
    <xf numFmtId="49" fontId="12" fillId="0" borderId="0" xfId="27" applyNumberFormat="1" applyFont="1" applyFill="1" applyAlignment="1">
      <alignment horizontal="left" vertical="center"/>
    </xf>
    <xf numFmtId="49" fontId="26" fillId="0" borderId="1" xfId="27" applyNumberFormat="1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187" fontId="39" fillId="2" borderId="1" xfId="28" applyNumberFormat="1" applyFont="1" applyFill="1" applyBorder="1" applyAlignment="1">
      <alignment horizontal="center" vertical="center"/>
    </xf>
    <xf numFmtId="189" fontId="39" fillId="2" borderId="1" xfId="28" applyNumberFormat="1" applyFont="1" applyFill="1" applyBorder="1" applyAlignment="1">
      <alignment horizontal="center" vertical="center"/>
    </xf>
    <xf numFmtId="0" fontId="26" fillId="0" borderId="1" xfId="28" applyFont="1" applyFill="1" applyBorder="1" applyAlignment="1">
      <alignment horizontal="center" vertical="center"/>
    </xf>
    <xf numFmtId="187" fontId="26" fillId="0" borderId="1" xfId="28" applyNumberFormat="1" applyFont="1" applyFill="1" applyBorder="1">
      <alignment vertical="center"/>
    </xf>
    <xf numFmtId="190" fontId="26" fillId="0" borderId="1" xfId="28" applyNumberFormat="1" applyFont="1" applyFill="1" applyBorder="1">
      <alignment vertical="center"/>
    </xf>
    <xf numFmtId="186" fontId="26" fillId="0" borderId="1" xfId="28" applyNumberFormat="1" applyFont="1" applyFill="1" applyBorder="1">
      <alignment vertical="center"/>
    </xf>
    <xf numFmtId="0" fontId="17" fillId="0" borderId="0" xfId="0" applyFont="1" applyAlignment="1">
      <alignment horizontal="right" vertical="center"/>
    </xf>
    <xf numFmtId="0" fontId="37" fillId="2" borderId="1" xfId="0" applyNumberFormat="1" applyFont="1" applyFill="1" applyBorder="1" applyAlignment="1">
      <alignment horizontal="center" vertical="center"/>
    </xf>
    <xf numFmtId="3" fontId="26" fillId="3" borderId="1" xfId="0" applyNumberFormat="1" applyFont="1" applyFill="1" applyBorder="1" applyAlignment="1">
      <alignment horizontal="right" vertical="center"/>
    </xf>
    <xf numFmtId="184" fontId="26" fillId="0" borderId="1" xfId="0" applyNumberFormat="1" applyFont="1" applyBorder="1">
      <alignment vertical="center"/>
    </xf>
    <xf numFmtId="186" fontId="26" fillId="0" borderId="1" xfId="0" applyNumberFormat="1" applyFont="1" applyBorder="1">
      <alignment vertical="center"/>
    </xf>
    <xf numFmtId="41" fontId="17" fillId="0" borderId="1" xfId="15" applyFont="1" applyFill="1" applyBorder="1" applyAlignment="1">
      <alignment horizontal="center" vertical="center"/>
    </xf>
    <xf numFmtId="0" fontId="37" fillId="2" borderId="1" xfId="43" applyFont="1" applyFill="1" applyBorder="1" applyAlignment="1">
      <alignment horizontal="center" vertical="center"/>
    </xf>
    <xf numFmtId="41" fontId="37" fillId="2" borderId="1" xfId="15" applyFont="1" applyFill="1" applyBorder="1" applyAlignment="1">
      <alignment horizontal="center" vertical="center"/>
    </xf>
    <xf numFmtId="41" fontId="17" fillId="0" borderId="1" xfId="15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41" fontId="12" fillId="0" borderId="1" xfId="15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39" fillId="2" borderId="1" xfId="28" applyFont="1" applyFill="1" applyBorder="1" applyAlignment="1">
      <alignment horizontal="center" vertical="center"/>
    </xf>
    <xf numFmtId="0" fontId="37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</cellXfs>
  <cellStyles count="47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Normal_ SG&amp;A Bridge " xfId="5" xr:uid="{00000000-0005-0000-0000-000004000000}"/>
    <cellStyle name="백분율" xfId="6" builtinId="5"/>
    <cellStyle name="백분율 2" xfId="7" xr:uid="{00000000-0005-0000-0000-000006000000}"/>
    <cellStyle name="백분율 2 2" xfId="8" xr:uid="{00000000-0005-0000-0000-000007000000}"/>
    <cellStyle name="백분율 3" xfId="9" xr:uid="{00000000-0005-0000-0000-000008000000}"/>
    <cellStyle name="백분율 4" xfId="10" xr:uid="{00000000-0005-0000-0000-000009000000}"/>
    <cellStyle name="백분율 5" xfId="11" xr:uid="{00000000-0005-0000-0000-00000A000000}"/>
    <cellStyle name="백분율 6" xfId="12" xr:uid="{00000000-0005-0000-0000-00000B000000}"/>
    <cellStyle name="백분율 7" xfId="13" xr:uid="{00000000-0005-0000-0000-00000C000000}"/>
    <cellStyle name="뷭?_BOOKSHIP" xfId="14" xr:uid="{00000000-0005-0000-0000-00000D000000}"/>
    <cellStyle name="쉼표 [0]" xfId="15" builtinId="6"/>
    <cellStyle name="쉼표 [0] 2" xfId="16" xr:uid="{00000000-0005-0000-0000-00000F000000}"/>
    <cellStyle name="쉼표 [0] 2 2" xfId="17" xr:uid="{00000000-0005-0000-0000-000010000000}"/>
    <cellStyle name="쉼표 [0] 3" xfId="18" xr:uid="{00000000-0005-0000-0000-000011000000}"/>
    <cellStyle name="쉼표 [0] 3 2" xfId="19" xr:uid="{00000000-0005-0000-0000-000012000000}"/>
    <cellStyle name="쉼표 [0] 3 2 2" xfId="20" xr:uid="{00000000-0005-0000-0000-000013000000}"/>
    <cellStyle name="쉼표 [0] 4" xfId="21" xr:uid="{00000000-0005-0000-0000-000014000000}"/>
    <cellStyle name="쉼표 [0] 5" xfId="22" xr:uid="{00000000-0005-0000-0000-000015000000}"/>
    <cellStyle name="쉼표 [0] 6" xfId="23" xr:uid="{00000000-0005-0000-0000-000016000000}"/>
    <cellStyle name="쉼표 [0] 7" xfId="24" xr:uid="{00000000-0005-0000-0000-000017000000}"/>
    <cellStyle name="콤마 [0]_1202" xfId="25" xr:uid="{00000000-0005-0000-0000-000018000000}"/>
    <cellStyle name="콤마_1202" xfId="26" xr:uid="{00000000-0005-0000-0000-000019000000}"/>
    <cellStyle name="표준" xfId="0" builtinId="0"/>
    <cellStyle name="표준 10" xfId="27" xr:uid="{00000000-0005-0000-0000-00001B000000}"/>
    <cellStyle name="표준 11" xfId="28" xr:uid="{00000000-0005-0000-0000-00001C000000}"/>
    <cellStyle name="표준 12" xfId="29" xr:uid="{00000000-0005-0000-0000-00001D000000}"/>
    <cellStyle name="표준 13" xfId="30" xr:uid="{00000000-0005-0000-0000-00001E000000}"/>
    <cellStyle name="표준 14" xfId="31" xr:uid="{00000000-0005-0000-0000-00001F000000}"/>
    <cellStyle name="표준 15" xfId="32" xr:uid="{00000000-0005-0000-0000-000020000000}"/>
    <cellStyle name="표준 16" xfId="33" xr:uid="{00000000-0005-0000-0000-000021000000}"/>
    <cellStyle name="표준 17" xfId="34" xr:uid="{00000000-0005-0000-0000-000022000000}"/>
    <cellStyle name="표준 18" xfId="44" xr:uid="{00000000-0005-0000-0000-000023000000}"/>
    <cellStyle name="표준 19" xfId="45" xr:uid="{00000000-0005-0000-0000-000024000000}"/>
    <cellStyle name="표준 2" xfId="35" xr:uid="{00000000-0005-0000-0000-000025000000}"/>
    <cellStyle name="표준 20" xfId="46" xr:uid="{00000000-0005-0000-0000-000026000000}"/>
    <cellStyle name="표준 3" xfId="36" xr:uid="{00000000-0005-0000-0000-000027000000}"/>
    <cellStyle name="표준 4" xfId="37" xr:uid="{00000000-0005-0000-0000-000028000000}"/>
    <cellStyle name="표준 5" xfId="38" xr:uid="{00000000-0005-0000-0000-000029000000}"/>
    <cellStyle name="표준 6" xfId="39" xr:uid="{00000000-0005-0000-0000-00002A000000}"/>
    <cellStyle name="표준 7" xfId="40" xr:uid="{00000000-0005-0000-0000-00002B000000}"/>
    <cellStyle name="표준 8" xfId="41" xr:uid="{00000000-0005-0000-0000-00002C000000}"/>
    <cellStyle name="표준 9" xfId="42" xr:uid="{00000000-0005-0000-0000-00002D000000}"/>
    <cellStyle name="표준_Sheet1" xfId="43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12"/>
  <sheetViews>
    <sheetView tabSelected="1" workbookViewId="0">
      <selection activeCell="B2" sqref="B2"/>
    </sheetView>
  </sheetViews>
  <sheetFormatPr defaultColWidth="9" defaultRowHeight="13.5"/>
  <cols>
    <col min="1" max="1" width="3.25" style="5" customWidth="1"/>
    <col min="2" max="2" width="60.625" style="5" customWidth="1"/>
    <col min="3" max="3" width="3.75" style="5" customWidth="1"/>
    <col min="4" max="4" width="60.625" style="5" customWidth="1"/>
    <col min="5" max="16384" width="9" style="5"/>
  </cols>
  <sheetData>
    <row r="1" spans="2:4" ht="15" customHeight="1">
      <c r="B1" s="4"/>
      <c r="C1" s="4"/>
    </row>
    <row r="2" spans="2:4" ht="44.25" customHeight="1">
      <c r="B2" s="6" t="s">
        <v>868</v>
      </c>
      <c r="C2" s="6"/>
      <c r="D2" s="6" t="s">
        <v>869</v>
      </c>
    </row>
    <row r="3" spans="2:4" ht="15" customHeight="1">
      <c r="B3" s="7"/>
      <c r="C3" s="7"/>
    </row>
    <row r="4" spans="2:4" ht="33" customHeight="1">
      <c r="B4" s="7" t="s">
        <v>1422</v>
      </c>
      <c r="C4" s="7"/>
      <c r="D4" s="8" t="s">
        <v>1507</v>
      </c>
    </row>
    <row r="5" spans="2:4" ht="33" customHeight="1">
      <c r="B5" s="7" t="s">
        <v>1423</v>
      </c>
      <c r="C5" s="7"/>
      <c r="D5" s="8" t="s">
        <v>870</v>
      </c>
    </row>
    <row r="6" spans="2:4" ht="33" customHeight="1">
      <c r="B6" s="7" t="s">
        <v>1424</v>
      </c>
      <c r="C6" s="7"/>
      <c r="D6" s="8" t="s">
        <v>871</v>
      </c>
    </row>
    <row r="7" spans="2:4" ht="33" customHeight="1">
      <c r="B7" s="7" t="s">
        <v>1425</v>
      </c>
      <c r="C7" s="7"/>
      <c r="D7" s="8" t="s">
        <v>872</v>
      </c>
    </row>
    <row r="8" spans="2:4" ht="33" customHeight="1">
      <c r="B8" s="7" t="s">
        <v>1551</v>
      </c>
      <c r="C8" s="7"/>
      <c r="D8" s="8" t="s">
        <v>1508</v>
      </c>
    </row>
    <row r="9" spans="2:4" ht="33" customHeight="1">
      <c r="B9" s="7" t="s">
        <v>1552</v>
      </c>
      <c r="C9" s="7"/>
      <c r="D9" s="8" t="s">
        <v>1550</v>
      </c>
    </row>
    <row r="10" spans="2:4" ht="33" customHeight="1">
      <c r="B10" s="7" t="s">
        <v>1553</v>
      </c>
      <c r="C10" s="7"/>
      <c r="D10" s="8" t="s">
        <v>873</v>
      </c>
    </row>
    <row r="11" spans="2:4" ht="33" customHeight="1">
      <c r="B11" s="7" t="s">
        <v>1426</v>
      </c>
      <c r="C11" s="7"/>
      <c r="D11" s="8" t="s">
        <v>874</v>
      </c>
    </row>
    <row r="12" spans="2:4" ht="33" customHeight="1">
      <c r="B12" s="7" t="s">
        <v>1427</v>
      </c>
      <c r="D12" s="8" t="s">
        <v>875</v>
      </c>
    </row>
  </sheetData>
  <phoneticPr fontId="13" type="noConversion"/>
  <pageMargins left="0.7" right="0.7" top="0.75" bottom="0.75" header="0.3" footer="0.3"/>
  <pageSetup paperSize="9" scale="9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7"/>
  <sheetViews>
    <sheetView zoomScaleNormal="100" workbookViewId="0">
      <selection activeCell="B1" sqref="B1"/>
    </sheetView>
  </sheetViews>
  <sheetFormatPr defaultColWidth="16.25" defaultRowHeight="18" customHeight="1"/>
  <cols>
    <col min="1" max="1" width="2.625" style="10" customWidth="1"/>
    <col min="2" max="2" width="16.625" style="10" bestFit="1" customWidth="1"/>
    <col min="3" max="3" width="12.625" style="10" customWidth="1"/>
    <col min="4" max="4" width="15.625" style="10" customWidth="1"/>
    <col min="5" max="5" width="12.625" style="10" customWidth="1"/>
    <col min="6" max="6" width="15.625" style="10" customWidth="1"/>
    <col min="7" max="7" width="12.625" style="10" customWidth="1"/>
    <col min="8" max="8" width="15.625" style="10" customWidth="1"/>
    <col min="9" max="9" width="12.625" style="10" customWidth="1"/>
    <col min="10" max="10" width="15.625" style="10" customWidth="1"/>
    <col min="11" max="11" width="12.625" style="10" customWidth="1"/>
    <col min="12" max="12" width="15.625" style="10" customWidth="1"/>
    <col min="13" max="13" width="12.625" style="10" customWidth="1"/>
    <col min="14" max="14" width="15.625" style="10" customWidth="1"/>
    <col min="15" max="16384" width="16.25" style="10"/>
  </cols>
  <sheetData>
    <row r="1" spans="1:17" ht="30" customHeight="1">
      <c r="A1" s="9" t="str">
        <f>목차!B4</f>
        <v>1. 2023년 용도별 건축물 현황</v>
      </c>
    </row>
    <row r="2" spans="1:17" ht="18" customHeight="1">
      <c r="N2" s="11" t="s">
        <v>876</v>
      </c>
    </row>
    <row r="3" spans="1:17" ht="18" customHeight="1">
      <c r="B3" s="113" t="s">
        <v>15</v>
      </c>
      <c r="C3" s="112" t="s">
        <v>0</v>
      </c>
      <c r="D3" s="112"/>
      <c r="E3" s="112" t="s">
        <v>882</v>
      </c>
      <c r="F3" s="112"/>
      <c r="G3" s="112" t="s">
        <v>883</v>
      </c>
      <c r="H3" s="112"/>
      <c r="I3" s="112" t="s">
        <v>884</v>
      </c>
      <c r="J3" s="112"/>
      <c r="K3" s="112" t="s">
        <v>1543</v>
      </c>
      <c r="L3" s="112"/>
      <c r="M3" s="112" t="s">
        <v>880</v>
      </c>
      <c r="N3" s="112"/>
    </row>
    <row r="4" spans="1:17" ht="18" customHeight="1">
      <c r="B4" s="113"/>
      <c r="C4" s="71" t="s">
        <v>866</v>
      </c>
      <c r="D4" s="71" t="s">
        <v>867</v>
      </c>
      <c r="E4" s="71" t="s">
        <v>866</v>
      </c>
      <c r="F4" s="71" t="s">
        <v>867</v>
      </c>
      <c r="G4" s="71" t="s">
        <v>866</v>
      </c>
      <c r="H4" s="71" t="s">
        <v>867</v>
      </c>
      <c r="I4" s="71" t="s">
        <v>866</v>
      </c>
      <c r="J4" s="71" t="s">
        <v>867</v>
      </c>
      <c r="K4" s="71" t="s">
        <v>866</v>
      </c>
      <c r="L4" s="71" t="s">
        <v>867</v>
      </c>
      <c r="M4" s="71" t="s">
        <v>866</v>
      </c>
      <c r="N4" s="71" t="s">
        <v>867</v>
      </c>
    </row>
    <row r="5" spans="1:17" ht="18" customHeight="1">
      <c r="B5" s="13" t="s">
        <v>885</v>
      </c>
      <c r="C5" s="17">
        <v>7391084</v>
      </c>
      <c r="D5" s="17">
        <v>4227660684.3220005</v>
      </c>
      <c r="E5" s="17">
        <v>4576735</v>
      </c>
      <c r="F5" s="17">
        <v>1950556270.983</v>
      </c>
      <c r="G5" s="17">
        <v>1392582</v>
      </c>
      <c r="H5" s="17">
        <v>934688689.26999998</v>
      </c>
      <c r="I5" s="17">
        <v>345087</v>
      </c>
      <c r="J5" s="17">
        <v>465148021.79500002</v>
      </c>
      <c r="K5" s="17">
        <v>203489</v>
      </c>
      <c r="L5" s="17">
        <v>376645408.43199998</v>
      </c>
      <c r="M5" s="17">
        <v>873191</v>
      </c>
      <c r="N5" s="17">
        <v>500622293.84200001</v>
      </c>
    </row>
    <row r="6" spans="1:17" ht="18" customHeight="1">
      <c r="B6" s="13" t="s">
        <v>1</v>
      </c>
      <c r="C6" s="17">
        <v>579408</v>
      </c>
      <c r="D6" s="17">
        <v>594223316.7076</v>
      </c>
      <c r="E6" s="17">
        <v>428325</v>
      </c>
      <c r="F6" s="17">
        <v>308478091.63779998</v>
      </c>
      <c r="G6" s="17">
        <v>127876</v>
      </c>
      <c r="H6" s="17">
        <v>186782639.33590001</v>
      </c>
      <c r="I6" s="17">
        <v>2322</v>
      </c>
      <c r="J6" s="17">
        <v>14552066.776699999</v>
      </c>
      <c r="K6" s="17">
        <v>16367</v>
      </c>
      <c r="L6" s="17">
        <v>63430315.032499999</v>
      </c>
      <c r="M6" s="17">
        <v>4518</v>
      </c>
      <c r="N6" s="17">
        <v>20980203.924699999</v>
      </c>
    </row>
    <row r="7" spans="1:17" ht="18" customHeight="1">
      <c r="B7" s="13" t="s">
        <v>2</v>
      </c>
      <c r="C7" s="17">
        <v>348634</v>
      </c>
      <c r="D7" s="17">
        <v>255841080.20170999</v>
      </c>
      <c r="E7" s="17">
        <v>236696</v>
      </c>
      <c r="F7" s="17">
        <v>124624082.49153</v>
      </c>
      <c r="G7" s="17">
        <v>73754</v>
      </c>
      <c r="H7" s="17">
        <v>64595346.499980003</v>
      </c>
      <c r="I7" s="17">
        <v>15784</v>
      </c>
      <c r="J7" s="17">
        <v>19867250.295200001</v>
      </c>
      <c r="K7" s="17">
        <v>9260</v>
      </c>
      <c r="L7" s="17">
        <v>23981385.440099999</v>
      </c>
      <c r="M7" s="17">
        <v>13140</v>
      </c>
      <c r="N7" s="17">
        <v>22773015.4749</v>
      </c>
    </row>
    <row r="8" spans="1:17" ht="18" customHeight="1">
      <c r="B8" s="13" t="s">
        <v>3</v>
      </c>
      <c r="C8" s="17">
        <v>256241</v>
      </c>
      <c r="D8" s="17">
        <v>181440260.67039999</v>
      </c>
      <c r="E8" s="17">
        <v>168976</v>
      </c>
      <c r="F8" s="17">
        <v>95283308.701100007</v>
      </c>
      <c r="G8" s="17">
        <v>54117</v>
      </c>
      <c r="H8" s="17">
        <v>45453595.508599997</v>
      </c>
      <c r="I8" s="17">
        <v>13375</v>
      </c>
      <c r="J8" s="17">
        <v>16290192.487199999</v>
      </c>
      <c r="K8" s="17">
        <v>6637</v>
      </c>
      <c r="L8" s="17">
        <v>16051156.160599999</v>
      </c>
      <c r="M8" s="17">
        <v>13136</v>
      </c>
      <c r="N8" s="17">
        <v>8362007.8129000003</v>
      </c>
    </row>
    <row r="9" spans="1:17" ht="18" customHeight="1">
      <c r="B9" s="13" t="s">
        <v>4</v>
      </c>
      <c r="C9" s="17">
        <v>221783</v>
      </c>
      <c r="D9" s="17">
        <v>223037992.89855</v>
      </c>
      <c r="E9" s="17">
        <v>138739</v>
      </c>
      <c r="F9" s="17">
        <v>107415459.67935</v>
      </c>
      <c r="G9" s="17">
        <v>47743</v>
      </c>
      <c r="H9" s="17">
        <v>55915629.386600003</v>
      </c>
      <c r="I9" s="17">
        <v>14723</v>
      </c>
      <c r="J9" s="17">
        <v>25115385.690900002</v>
      </c>
      <c r="K9" s="17">
        <v>6664</v>
      </c>
      <c r="L9" s="17">
        <v>18087501.637499999</v>
      </c>
      <c r="M9" s="17">
        <v>13914</v>
      </c>
      <c r="N9" s="17">
        <v>16504016.5042</v>
      </c>
      <c r="Q9" s="12"/>
    </row>
    <row r="10" spans="1:17" ht="18" customHeight="1">
      <c r="B10" s="13" t="s">
        <v>5</v>
      </c>
      <c r="C10" s="17">
        <v>136197</v>
      </c>
      <c r="D10" s="17">
        <v>110111574.49070001</v>
      </c>
      <c r="E10" s="17">
        <v>89137</v>
      </c>
      <c r="F10" s="17">
        <v>59857077.917499997</v>
      </c>
      <c r="G10" s="17">
        <v>33625</v>
      </c>
      <c r="H10" s="17">
        <v>24411787.727000002</v>
      </c>
      <c r="I10" s="17">
        <v>4404</v>
      </c>
      <c r="J10" s="17">
        <v>8781783.8344000001</v>
      </c>
      <c r="K10" s="17">
        <v>4056</v>
      </c>
      <c r="L10" s="17">
        <v>12869131.6611</v>
      </c>
      <c r="M10" s="17">
        <v>4975</v>
      </c>
      <c r="N10" s="17">
        <v>4191793.3506999998</v>
      </c>
    </row>
    <row r="11" spans="1:17" ht="18" customHeight="1">
      <c r="B11" s="13" t="s">
        <v>6</v>
      </c>
      <c r="C11" s="17">
        <v>131054</v>
      </c>
      <c r="D11" s="17">
        <v>116351917.30185001</v>
      </c>
      <c r="E11" s="17">
        <v>90228</v>
      </c>
      <c r="F11" s="17">
        <v>57280772.308499999</v>
      </c>
      <c r="G11" s="17">
        <v>27220</v>
      </c>
      <c r="H11" s="17">
        <v>25161964.497900002</v>
      </c>
      <c r="I11" s="17">
        <v>3028</v>
      </c>
      <c r="J11" s="17">
        <v>5662874.7257000003</v>
      </c>
      <c r="K11" s="17">
        <v>5043</v>
      </c>
      <c r="L11" s="17">
        <v>15094653.012049999</v>
      </c>
      <c r="M11" s="17">
        <v>5535</v>
      </c>
      <c r="N11" s="17">
        <v>13151652.7577</v>
      </c>
    </row>
    <row r="12" spans="1:17" ht="18" customHeight="1">
      <c r="B12" s="13" t="s">
        <v>7</v>
      </c>
      <c r="C12" s="17">
        <v>137107</v>
      </c>
      <c r="D12" s="17">
        <v>94810829.082050011</v>
      </c>
      <c r="E12" s="17">
        <v>76205</v>
      </c>
      <c r="F12" s="17">
        <v>44358547.931199998</v>
      </c>
      <c r="G12" s="17">
        <v>31203</v>
      </c>
      <c r="H12" s="17">
        <v>18547142.784000002</v>
      </c>
      <c r="I12" s="17">
        <v>15113</v>
      </c>
      <c r="J12" s="17">
        <v>18653919.989399999</v>
      </c>
      <c r="K12" s="17">
        <v>4023</v>
      </c>
      <c r="L12" s="17">
        <v>7335576.7494000001</v>
      </c>
      <c r="M12" s="17">
        <v>10563</v>
      </c>
      <c r="N12" s="17">
        <v>5915641.6280500004</v>
      </c>
    </row>
    <row r="13" spans="1:17" ht="18" customHeight="1">
      <c r="B13" s="13" t="s">
        <v>852</v>
      </c>
      <c r="C13" s="17">
        <v>35383</v>
      </c>
      <c r="D13" s="17">
        <v>31939699.539299998</v>
      </c>
      <c r="E13" s="17">
        <v>19428</v>
      </c>
      <c r="F13" s="17">
        <v>16035867.659299999</v>
      </c>
      <c r="G13" s="17">
        <v>6833</v>
      </c>
      <c r="H13" s="17">
        <v>5875166.5996000003</v>
      </c>
      <c r="I13" s="17">
        <v>2064</v>
      </c>
      <c r="J13" s="17">
        <v>2982271.5109000001</v>
      </c>
      <c r="K13" s="17">
        <v>1040</v>
      </c>
      <c r="L13" s="17">
        <v>3300221.2881999998</v>
      </c>
      <c r="M13" s="17">
        <v>6018</v>
      </c>
      <c r="N13" s="17">
        <v>3746172.4813000001</v>
      </c>
    </row>
    <row r="14" spans="1:17" ht="18" customHeight="1">
      <c r="B14" s="13" t="s">
        <v>8</v>
      </c>
      <c r="C14" s="17">
        <v>1265969</v>
      </c>
      <c r="D14" s="17">
        <v>1108557371.9829042</v>
      </c>
      <c r="E14" s="17">
        <v>659642</v>
      </c>
      <c r="F14" s="17">
        <v>502659091.66213399</v>
      </c>
      <c r="G14" s="17">
        <v>296848</v>
      </c>
      <c r="H14" s="17">
        <v>228778384.68091509</v>
      </c>
      <c r="I14" s="17">
        <v>114900</v>
      </c>
      <c r="J14" s="17">
        <v>135919842.8127</v>
      </c>
      <c r="K14" s="17">
        <v>37213</v>
      </c>
      <c r="L14" s="17">
        <v>84771583.493025005</v>
      </c>
      <c r="M14" s="17">
        <v>157366</v>
      </c>
      <c r="N14" s="17">
        <v>156428469.33412999</v>
      </c>
    </row>
    <row r="15" spans="1:17" ht="18" customHeight="1">
      <c r="B15" s="13" t="s">
        <v>1462</v>
      </c>
      <c r="C15" s="17">
        <v>437539</v>
      </c>
      <c r="D15" s="17">
        <v>145835370.968963</v>
      </c>
      <c r="E15" s="17">
        <v>278327</v>
      </c>
      <c r="F15" s="17">
        <v>64847505.977762997</v>
      </c>
      <c r="G15" s="17">
        <v>79287</v>
      </c>
      <c r="H15" s="17">
        <v>33239229.215050001</v>
      </c>
      <c r="I15" s="17">
        <v>7559</v>
      </c>
      <c r="J15" s="17">
        <v>7464148.8366999999</v>
      </c>
      <c r="K15" s="17">
        <v>14249</v>
      </c>
      <c r="L15" s="17">
        <v>17151380.07375</v>
      </c>
      <c r="M15" s="17">
        <v>58117</v>
      </c>
      <c r="N15" s="17">
        <v>23133106.865699999</v>
      </c>
    </row>
    <row r="16" spans="1:17" ht="18" customHeight="1">
      <c r="B16" s="13" t="s">
        <v>9</v>
      </c>
      <c r="C16" s="17">
        <v>407286</v>
      </c>
      <c r="D16" s="17">
        <v>162002149.47755003</v>
      </c>
      <c r="E16" s="17">
        <v>247945</v>
      </c>
      <c r="F16" s="17">
        <v>68352952.735799998</v>
      </c>
      <c r="G16" s="17">
        <v>66614</v>
      </c>
      <c r="H16" s="17">
        <v>27674039.056600001</v>
      </c>
      <c r="I16" s="17">
        <v>22051</v>
      </c>
      <c r="J16" s="17">
        <v>29701760.717300002</v>
      </c>
      <c r="K16" s="17">
        <v>11143</v>
      </c>
      <c r="L16" s="17">
        <v>13844344.3846</v>
      </c>
      <c r="M16" s="17">
        <v>59533</v>
      </c>
      <c r="N16" s="17">
        <v>22429052.583250001</v>
      </c>
    </row>
    <row r="17" spans="2:15" ht="18" customHeight="1">
      <c r="B17" s="13" t="s">
        <v>10</v>
      </c>
      <c r="C17" s="17">
        <v>564466</v>
      </c>
      <c r="D17" s="17">
        <v>230607710.36564997</v>
      </c>
      <c r="E17" s="17">
        <v>338288</v>
      </c>
      <c r="F17" s="17">
        <v>89275780.922399998</v>
      </c>
      <c r="G17" s="17">
        <v>92704</v>
      </c>
      <c r="H17" s="17">
        <v>37901877.478050001</v>
      </c>
      <c r="I17" s="17">
        <v>26981</v>
      </c>
      <c r="J17" s="17">
        <v>44934545.520999998</v>
      </c>
      <c r="K17" s="17">
        <v>14492</v>
      </c>
      <c r="L17" s="17">
        <v>18271738.543400001</v>
      </c>
      <c r="M17" s="17">
        <v>92001</v>
      </c>
      <c r="N17" s="17">
        <v>40223767.900799997</v>
      </c>
    </row>
    <row r="18" spans="2:15" ht="18" customHeight="1">
      <c r="B18" s="13" t="s">
        <v>1548</v>
      </c>
      <c r="C18" s="17">
        <v>463883</v>
      </c>
      <c r="D18" s="17">
        <v>172607854.92954999</v>
      </c>
      <c r="E18" s="17">
        <v>270777</v>
      </c>
      <c r="F18" s="17">
        <v>71018326.511999995</v>
      </c>
      <c r="G18" s="17">
        <v>80990</v>
      </c>
      <c r="H18" s="17">
        <v>31067179.42735</v>
      </c>
      <c r="I18" s="17">
        <v>14335</v>
      </c>
      <c r="J18" s="17">
        <v>18741924.115800001</v>
      </c>
      <c r="K18" s="17">
        <v>15343</v>
      </c>
      <c r="L18" s="17">
        <v>16740873.4</v>
      </c>
      <c r="M18" s="17">
        <v>82438</v>
      </c>
      <c r="N18" s="17">
        <v>35039551.474399999</v>
      </c>
    </row>
    <row r="19" spans="2:15" ht="18" customHeight="1">
      <c r="B19" s="13" t="s">
        <v>11</v>
      </c>
      <c r="C19" s="17">
        <v>664511</v>
      </c>
      <c r="D19" s="17">
        <v>185386551.96561998</v>
      </c>
      <c r="E19" s="17">
        <v>430874</v>
      </c>
      <c r="F19" s="17">
        <v>74256538.747419998</v>
      </c>
      <c r="G19" s="17">
        <v>99842</v>
      </c>
      <c r="H19" s="17">
        <v>33028267.565200001</v>
      </c>
      <c r="I19" s="17">
        <v>21239</v>
      </c>
      <c r="J19" s="17">
        <v>20883290.072500002</v>
      </c>
      <c r="K19" s="17">
        <v>16539</v>
      </c>
      <c r="L19" s="17">
        <v>16165654.629799999</v>
      </c>
      <c r="M19" s="17">
        <v>96017</v>
      </c>
      <c r="N19" s="17">
        <v>41052800.9507</v>
      </c>
    </row>
    <row r="20" spans="2:15" ht="18" customHeight="1">
      <c r="B20" s="13" t="s">
        <v>12</v>
      </c>
      <c r="C20" s="17">
        <v>824988</v>
      </c>
      <c r="D20" s="17">
        <v>268538300.45090002</v>
      </c>
      <c r="E20" s="17">
        <v>509429</v>
      </c>
      <c r="F20" s="17">
        <v>107816273.00560001</v>
      </c>
      <c r="G20" s="17">
        <v>125321</v>
      </c>
      <c r="H20" s="17">
        <v>42900911.273699999</v>
      </c>
      <c r="I20" s="17">
        <v>35326</v>
      </c>
      <c r="J20" s="17">
        <v>49668824.516800001</v>
      </c>
      <c r="K20" s="17">
        <v>20406</v>
      </c>
      <c r="L20" s="17">
        <v>21881980.0792</v>
      </c>
      <c r="M20" s="17">
        <v>134506</v>
      </c>
      <c r="N20" s="17">
        <v>46270311.575599998</v>
      </c>
    </row>
    <row r="21" spans="2:15" ht="18" customHeight="1">
      <c r="B21" s="15" t="s">
        <v>13</v>
      </c>
      <c r="C21" s="17">
        <v>727299</v>
      </c>
      <c r="D21" s="17">
        <v>286954277.41382498</v>
      </c>
      <c r="E21" s="17">
        <v>478867</v>
      </c>
      <c r="F21" s="17">
        <v>133572343.21465001</v>
      </c>
      <c r="G21" s="17">
        <v>115917</v>
      </c>
      <c r="H21" s="17">
        <v>53435149.105075002</v>
      </c>
      <c r="I21" s="17">
        <v>30858</v>
      </c>
      <c r="J21" s="17">
        <v>45078306.039499998</v>
      </c>
      <c r="K21" s="17">
        <v>16682</v>
      </c>
      <c r="L21" s="17">
        <v>22127287.2742</v>
      </c>
      <c r="M21" s="17">
        <v>84975</v>
      </c>
      <c r="N21" s="17">
        <v>32741191.780400001</v>
      </c>
    </row>
    <row r="22" spans="2:15" ht="18" customHeight="1">
      <c r="B22" s="13" t="s">
        <v>14</v>
      </c>
      <c r="C22" s="17">
        <v>189336</v>
      </c>
      <c r="D22" s="17">
        <v>59414425.869260006</v>
      </c>
      <c r="E22" s="17">
        <v>114852</v>
      </c>
      <c r="F22" s="17">
        <v>25424249.877659999</v>
      </c>
      <c r="G22" s="17">
        <v>32688</v>
      </c>
      <c r="H22" s="17">
        <v>19920379.1274</v>
      </c>
      <c r="I22" s="17">
        <v>1025</v>
      </c>
      <c r="J22" s="17">
        <v>849633.85049999994</v>
      </c>
      <c r="K22" s="17">
        <v>4332</v>
      </c>
      <c r="L22" s="17">
        <v>5540625.5717000002</v>
      </c>
      <c r="M22" s="17">
        <v>36439</v>
      </c>
      <c r="N22" s="17">
        <v>7679537.4419999998</v>
      </c>
    </row>
    <row r="23" spans="2:15" ht="18" customHeight="1">
      <c r="B23"/>
      <c r="C23"/>
      <c r="D23" s="38"/>
      <c r="E23" s="52"/>
      <c r="F23" s="52"/>
      <c r="G23" s="52"/>
      <c r="H23" s="52"/>
      <c r="I23" s="38"/>
      <c r="J23" s="38"/>
      <c r="K23" s="38"/>
      <c r="L23" s="38"/>
      <c r="M23" s="38"/>
      <c r="N23" s="38"/>
      <c r="O23" s="38"/>
    </row>
    <row r="24" spans="2:15" ht="18" customHeight="1">
      <c r="B24"/>
      <c r="C24"/>
      <c r="D24" s="38"/>
      <c r="E24" s="52"/>
      <c r="F24" s="52"/>
      <c r="G24" s="52"/>
      <c r="H24" s="52"/>
      <c r="I24" s="38"/>
      <c r="J24" s="38"/>
      <c r="K24" s="38"/>
      <c r="L24" s="38"/>
      <c r="M24" s="38"/>
      <c r="N24" s="38"/>
      <c r="O24" s="38"/>
    </row>
    <row r="25" spans="2:15" ht="18" customHeight="1">
      <c r="B25"/>
      <c r="C25"/>
      <c r="D25" s="38"/>
      <c r="E25" s="52"/>
      <c r="F25" s="52"/>
      <c r="G25" s="52"/>
      <c r="H25" s="52"/>
      <c r="I25" s="38"/>
      <c r="J25" s="38"/>
      <c r="K25" s="38"/>
      <c r="L25" s="38"/>
      <c r="M25" s="38"/>
      <c r="N25" s="38"/>
      <c r="O25" s="38"/>
    </row>
    <row r="26" spans="2:15" ht="18" customHeight="1">
      <c r="B26"/>
      <c r="C26"/>
      <c r="D26" s="38"/>
      <c r="E26" s="52"/>
      <c r="F26" s="52"/>
      <c r="G26" s="52"/>
      <c r="H26" s="52"/>
      <c r="I26" s="38"/>
      <c r="J26" s="38"/>
      <c r="K26" s="38"/>
      <c r="L26" s="38"/>
      <c r="M26" s="38"/>
      <c r="N26" s="38"/>
      <c r="O26" s="38"/>
    </row>
    <row r="27" spans="2:15" ht="18" customHeight="1">
      <c r="B27"/>
      <c r="C2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</sheetData>
  <sortState xmlns:xlrd2="http://schemas.microsoft.com/office/spreadsheetml/2017/richdata2" ref="B25:H41">
    <sortCondition ref="B25:B41"/>
  </sortState>
  <mergeCells count="7">
    <mergeCell ref="M3:N3"/>
    <mergeCell ref="B3:B4"/>
    <mergeCell ref="C3:D3"/>
    <mergeCell ref="E3:F3"/>
    <mergeCell ref="G3:H3"/>
    <mergeCell ref="I3:J3"/>
    <mergeCell ref="K3:L3"/>
  </mergeCells>
  <phoneticPr fontId="3" type="noConversion"/>
  <pageMargins left="0.7" right="0.7" top="0.75" bottom="0.75" header="0.3" footer="0.3"/>
  <pageSetup paperSize="9" scale="5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8"/>
  <sheetViews>
    <sheetView zoomScaleNormal="100" workbookViewId="0">
      <selection activeCell="B4" sqref="B4:B5"/>
    </sheetView>
  </sheetViews>
  <sheetFormatPr defaultColWidth="9" defaultRowHeight="18" customHeight="1"/>
  <cols>
    <col min="1" max="1" width="2.625" style="1" customWidth="1"/>
    <col min="2" max="2" width="16.625" style="1" customWidth="1"/>
    <col min="3" max="3" width="11.625" style="1" customWidth="1"/>
    <col min="4" max="4" width="15.625" style="1" customWidth="1"/>
    <col min="5" max="5" width="11.625" style="1" customWidth="1"/>
    <col min="6" max="6" width="15.625" style="1" customWidth="1"/>
    <col min="7" max="7" width="11.625" style="1" customWidth="1"/>
    <col min="8" max="8" width="15.625" style="1" customWidth="1"/>
    <col min="9" max="9" width="11.625" style="1" customWidth="1"/>
    <col min="10" max="10" width="15.625" style="1" customWidth="1"/>
    <col min="11" max="11" width="11.625" style="1" customWidth="1"/>
    <col min="12" max="12" width="15.625" style="1" customWidth="1"/>
    <col min="13" max="13" width="11.625" style="1" customWidth="1"/>
    <col min="14" max="14" width="15.625" style="1" customWidth="1"/>
    <col min="15" max="15" width="11.625" style="1" customWidth="1"/>
    <col min="16" max="16" width="15.625" style="1" customWidth="1"/>
    <col min="17" max="17" width="11.625" style="1" customWidth="1"/>
    <col min="18" max="18" width="15.625" style="1" customWidth="1"/>
    <col min="19" max="19" width="11.625" style="1" customWidth="1"/>
    <col min="20" max="20" width="15.625" style="1" customWidth="1"/>
    <col min="21" max="21" width="11.625" style="1" customWidth="1"/>
    <col min="22" max="22" width="15.625" style="1" customWidth="1"/>
    <col min="23" max="16384" width="9" style="1"/>
  </cols>
  <sheetData>
    <row r="1" spans="1:22" s="3" customFormat="1" ht="30" customHeight="1">
      <c r="A1" s="7" t="str">
        <f>목차!B5</f>
        <v>2. 2023년 주거용 건축물 현황</v>
      </c>
    </row>
    <row r="2" spans="1:22" s="3" customFormat="1" ht="18" customHeight="1">
      <c r="A2" s="34" t="s">
        <v>987</v>
      </c>
    </row>
    <row r="3" spans="1:22" s="3" customFormat="1" ht="18" customHeight="1">
      <c r="V3" s="11" t="s">
        <v>915</v>
      </c>
    </row>
    <row r="4" spans="1:22" s="35" customFormat="1" ht="18" customHeight="1">
      <c r="B4" s="113" t="s">
        <v>988</v>
      </c>
      <c r="C4" s="112" t="s">
        <v>989</v>
      </c>
      <c r="D4" s="112"/>
      <c r="E4" s="112" t="s">
        <v>990</v>
      </c>
      <c r="F4" s="112"/>
      <c r="G4" s="112" t="s">
        <v>991</v>
      </c>
      <c r="H4" s="112"/>
      <c r="I4" s="112" t="s">
        <v>992</v>
      </c>
      <c r="J4" s="112"/>
      <c r="K4" s="112" t="s">
        <v>993</v>
      </c>
      <c r="L4" s="112"/>
      <c r="M4" s="112" t="s">
        <v>994</v>
      </c>
      <c r="N4" s="112"/>
      <c r="O4" s="112" t="s">
        <v>995</v>
      </c>
      <c r="P4" s="112"/>
      <c r="Q4" s="112" t="s">
        <v>996</v>
      </c>
      <c r="R4" s="112"/>
      <c r="S4" s="112" t="s">
        <v>997</v>
      </c>
      <c r="T4" s="112"/>
      <c r="U4" s="112" t="s">
        <v>998</v>
      </c>
      <c r="V4" s="112"/>
    </row>
    <row r="5" spans="1:22" s="35" customFormat="1" ht="18" customHeight="1">
      <c r="B5" s="113"/>
      <c r="C5" s="71" t="s">
        <v>999</v>
      </c>
      <c r="D5" s="71" t="s">
        <v>1000</v>
      </c>
      <c r="E5" s="71" t="s">
        <v>999</v>
      </c>
      <c r="F5" s="71" t="s">
        <v>1000</v>
      </c>
      <c r="G5" s="71" t="s">
        <v>999</v>
      </c>
      <c r="H5" s="71" t="s">
        <v>1000</v>
      </c>
      <c r="I5" s="71" t="s">
        <v>999</v>
      </c>
      <c r="J5" s="71" t="s">
        <v>1000</v>
      </c>
      <c r="K5" s="71" t="s">
        <v>999</v>
      </c>
      <c r="L5" s="71" t="s">
        <v>1000</v>
      </c>
      <c r="M5" s="71" t="s">
        <v>999</v>
      </c>
      <c r="N5" s="71" t="s">
        <v>1000</v>
      </c>
      <c r="O5" s="71" t="s">
        <v>999</v>
      </c>
      <c r="P5" s="71" t="s">
        <v>1000</v>
      </c>
      <c r="Q5" s="71" t="s">
        <v>999</v>
      </c>
      <c r="R5" s="71" t="s">
        <v>1000</v>
      </c>
      <c r="S5" s="71" t="s">
        <v>999</v>
      </c>
      <c r="T5" s="71" t="s">
        <v>1000</v>
      </c>
      <c r="U5" s="71" t="s">
        <v>999</v>
      </c>
      <c r="V5" s="71" t="s">
        <v>1000</v>
      </c>
    </row>
    <row r="6" spans="1:22" s="35" customFormat="1" ht="18" customHeight="1">
      <c r="B6" s="13" t="s">
        <v>1001</v>
      </c>
      <c r="C6" s="17">
        <v>4576735</v>
      </c>
      <c r="D6" s="17">
        <v>1950556270.9889901</v>
      </c>
      <c r="E6" s="17">
        <v>3496849</v>
      </c>
      <c r="F6" s="17">
        <v>332809670.676</v>
      </c>
      <c r="G6" s="17">
        <v>20008</v>
      </c>
      <c r="H6" s="17">
        <v>5775055.8729999997</v>
      </c>
      <c r="I6" s="17">
        <v>590452</v>
      </c>
      <c r="J6" s="17">
        <v>172161787.81200001</v>
      </c>
      <c r="K6" s="17">
        <v>1538</v>
      </c>
      <c r="L6" s="17">
        <v>366016.61200000002</v>
      </c>
      <c r="M6" s="17">
        <v>164724</v>
      </c>
      <c r="N6" s="17">
        <v>1252465319.836</v>
      </c>
      <c r="O6" s="17">
        <v>36564</v>
      </c>
      <c r="P6" s="17">
        <v>44880427.939999998</v>
      </c>
      <c r="Q6" s="17">
        <v>258060</v>
      </c>
      <c r="R6" s="17">
        <v>133536041.553</v>
      </c>
      <c r="S6" s="17">
        <v>3865</v>
      </c>
      <c r="T6" s="17">
        <v>7708354.8600000003</v>
      </c>
      <c r="U6" s="17">
        <v>4675</v>
      </c>
      <c r="V6" s="17">
        <v>853595.82700000005</v>
      </c>
    </row>
    <row r="7" spans="1:22" s="35" customFormat="1" ht="18" customHeight="1">
      <c r="B7" s="13" t="s">
        <v>1002</v>
      </c>
      <c r="C7" s="17">
        <v>428325</v>
      </c>
      <c r="D7" s="17">
        <v>308478091.63779998</v>
      </c>
      <c r="E7" s="58">
        <v>180336</v>
      </c>
      <c r="F7" s="58">
        <v>26402311.928199999</v>
      </c>
      <c r="G7" s="58">
        <v>9623</v>
      </c>
      <c r="H7" s="58">
        <v>2818705.912</v>
      </c>
      <c r="I7" s="58">
        <v>110205</v>
      </c>
      <c r="J7" s="58">
        <v>28338971.6435</v>
      </c>
      <c r="K7" s="58">
        <v>45</v>
      </c>
      <c r="L7" s="58">
        <v>44390.239999999998</v>
      </c>
      <c r="M7" s="58">
        <v>25506</v>
      </c>
      <c r="N7" s="58">
        <v>193741800.2089</v>
      </c>
      <c r="O7" s="58">
        <v>8707</v>
      </c>
      <c r="P7" s="58">
        <v>10049709.056299999</v>
      </c>
      <c r="Q7" s="58">
        <v>93627</v>
      </c>
      <c r="R7" s="58">
        <v>46385894.911899999</v>
      </c>
      <c r="S7" s="58">
        <v>268</v>
      </c>
      <c r="T7" s="58">
        <v>692457.01699999999</v>
      </c>
      <c r="U7" s="17">
        <v>8</v>
      </c>
      <c r="V7" s="17">
        <v>3850.72</v>
      </c>
    </row>
    <row r="8" spans="1:22" s="35" customFormat="1" ht="18" customHeight="1">
      <c r="B8" s="13" t="s">
        <v>1003</v>
      </c>
      <c r="C8" s="17">
        <v>236696</v>
      </c>
      <c r="D8" s="17">
        <v>124624082.49153</v>
      </c>
      <c r="E8" s="58">
        <v>170603</v>
      </c>
      <c r="F8" s="58">
        <v>14956218.240499999</v>
      </c>
      <c r="G8" s="58">
        <v>401</v>
      </c>
      <c r="H8" s="58">
        <v>110019.87850000001</v>
      </c>
      <c r="I8" s="58">
        <v>33560</v>
      </c>
      <c r="J8" s="58">
        <v>6101516.1497999998</v>
      </c>
      <c r="K8" s="58">
        <v>40</v>
      </c>
      <c r="L8" s="58">
        <v>6871.71</v>
      </c>
      <c r="M8" s="58">
        <v>11330</v>
      </c>
      <c r="N8" s="58">
        <v>92317223.218930006</v>
      </c>
      <c r="O8" s="58">
        <v>2203</v>
      </c>
      <c r="P8" s="58">
        <v>2038888.7759</v>
      </c>
      <c r="Q8" s="58">
        <v>18462</v>
      </c>
      <c r="R8" s="58">
        <v>8900687.6214000005</v>
      </c>
      <c r="S8" s="58">
        <v>65</v>
      </c>
      <c r="T8" s="58">
        <v>156227.8836</v>
      </c>
      <c r="U8" s="17">
        <v>32</v>
      </c>
      <c r="V8" s="17">
        <v>36429.012900000002</v>
      </c>
    </row>
    <row r="9" spans="1:22" s="35" customFormat="1" ht="18" customHeight="1">
      <c r="B9" s="13" t="s">
        <v>1004</v>
      </c>
      <c r="C9" s="17">
        <v>168976</v>
      </c>
      <c r="D9" s="17">
        <v>95283308.701100007</v>
      </c>
      <c r="E9" s="58">
        <v>103166</v>
      </c>
      <c r="F9" s="58">
        <v>11241348.642999999</v>
      </c>
      <c r="G9" s="58">
        <v>653</v>
      </c>
      <c r="H9" s="58">
        <v>178771.4682</v>
      </c>
      <c r="I9" s="58">
        <v>48686</v>
      </c>
      <c r="J9" s="58">
        <v>12593617.7841</v>
      </c>
      <c r="K9" s="58">
        <v>15</v>
      </c>
      <c r="L9" s="58">
        <v>5585.61</v>
      </c>
      <c r="M9" s="58">
        <v>7982</v>
      </c>
      <c r="N9" s="58">
        <v>66448818.9987</v>
      </c>
      <c r="O9" s="58">
        <v>487</v>
      </c>
      <c r="P9" s="58">
        <v>651146.00690000004</v>
      </c>
      <c r="Q9" s="58">
        <v>7221</v>
      </c>
      <c r="R9" s="58">
        <v>3747030.6532999999</v>
      </c>
      <c r="S9" s="58">
        <v>82</v>
      </c>
      <c r="T9" s="58">
        <v>287799.28619999997</v>
      </c>
      <c r="U9" s="17">
        <v>684</v>
      </c>
      <c r="V9" s="17">
        <v>129190.2507</v>
      </c>
    </row>
    <row r="10" spans="1:22" s="35" customFormat="1" ht="18" customHeight="1">
      <c r="B10" s="13" t="s">
        <v>1005</v>
      </c>
      <c r="C10" s="17">
        <v>138739</v>
      </c>
      <c r="D10" s="17">
        <v>107415459.67935</v>
      </c>
      <c r="E10" s="58">
        <v>78332</v>
      </c>
      <c r="F10" s="58">
        <v>8559122.0405999999</v>
      </c>
      <c r="G10" s="58">
        <v>760</v>
      </c>
      <c r="H10" s="58">
        <v>227914.69399999999</v>
      </c>
      <c r="I10" s="58">
        <v>22271</v>
      </c>
      <c r="J10" s="58">
        <v>6240306.8929000003</v>
      </c>
      <c r="K10" s="58">
        <v>127</v>
      </c>
      <c r="L10" s="58">
        <v>25021.07</v>
      </c>
      <c r="M10" s="58">
        <v>9535</v>
      </c>
      <c r="N10" s="58">
        <v>77367295.268749997</v>
      </c>
      <c r="O10" s="58">
        <v>1857</v>
      </c>
      <c r="P10" s="58">
        <v>2339556.8369</v>
      </c>
      <c r="Q10" s="58">
        <v>25287</v>
      </c>
      <c r="R10" s="58">
        <v>12392574.7731</v>
      </c>
      <c r="S10" s="58">
        <v>64</v>
      </c>
      <c r="T10" s="58">
        <v>176346.42009999999</v>
      </c>
      <c r="U10" s="17">
        <v>506</v>
      </c>
      <c r="V10" s="17">
        <v>87321.683000000005</v>
      </c>
    </row>
    <row r="11" spans="1:22" s="35" customFormat="1" ht="18" customHeight="1">
      <c r="B11" s="13" t="s">
        <v>1006</v>
      </c>
      <c r="C11" s="17">
        <v>89137</v>
      </c>
      <c r="D11" s="17">
        <v>59857077.917499997</v>
      </c>
      <c r="E11" s="58">
        <v>66190</v>
      </c>
      <c r="F11" s="58">
        <v>7518752.0806</v>
      </c>
      <c r="G11" s="58">
        <v>138</v>
      </c>
      <c r="H11" s="58">
        <v>37405.230000000003</v>
      </c>
      <c r="I11" s="58">
        <v>15545</v>
      </c>
      <c r="J11" s="58">
        <v>5118988.4583999999</v>
      </c>
      <c r="K11" s="58">
        <v>0</v>
      </c>
      <c r="L11" s="58">
        <v>278.43</v>
      </c>
      <c r="M11" s="58">
        <v>5590</v>
      </c>
      <c r="N11" s="58">
        <v>45547190.692900002</v>
      </c>
      <c r="O11" s="58">
        <v>820</v>
      </c>
      <c r="P11" s="58">
        <v>1072261.3592999999</v>
      </c>
      <c r="Q11" s="58">
        <v>797</v>
      </c>
      <c r="R11" s="58">
        <v>408270.92210000003</v>
      </c>
      <c r="S11" s="58">
        <v>38</v>
      </c>
      <c r="T11" s="58">
        <v>142476.48499999999</v>
      </c>
      <c r="U11" s="17">
        <v>19</v>
      </c>
      <c r="V11" s="17">
        <v>11454.2592</v>
      </c>
    </row>
    <row r="12" spans="1:22" s="35" customFormat="1" ht="18" customHeight="1">
      <c r="B12" s="13" t="s">
        <v>1007</v>
      </c>
      <c r="C12" s="17">
        <v>90228</v>
      </c>
      <c r="D12" s="17">
        <v>57280772.308499999</v>
      </c>
      <c r="E12" s="58">
        <v>47248</v>
      </c>
      <c r="F12" s="58">
        <v>5101521.2746000001</v>
      </c>
      <c r="G12" s="58">
        <v>3011</v>
      </c>
      <c r="H12" s="58">
        <v>899893.46019999997</v>
      </c>
      <c r="I12" s="58">
        <v>30421</v>
      </c>
      <c r="J12" s="58">
        <v>8929781.6678999998</v>
      </c>
      <c r="K12" s="58">
        <v>8</v>
      </c>
      <c r="L12" s="58">
        <v>7087.57</v>
      </c>
      <c r="M12" s="58">
        <v>4424</v>
      </c>
      <c r="N12" s="58">
        <v>39130227.145599999</v>
      </c>
      <c r="O12" s="58">
        <v>783</v>
      </c>
      <c r="P12" s="58">
        <v>910761.40399999998</v>
      </c>
      <c r="Q12" s="58">
        <v>4257</v>
      </c>
      <c r="R12" s="58">
        <v>2101769.6082000001</v>
      </c>
      <c r="S12" s="58">
        <v>75</v>
      </c>
      <c r="T12" s="58">
        <v>197238.068</v>
      </c>
      <c r="U12" s="17">
        <v>1</v>
      </c>
      <c r="V12" s="17">
        <v>2492.11</v>
      </c>
    </row>
    <row r="13" spans="1:22" s="35" customFormat="1" ht="18" customHeight="1">
      <c r="B13" s="13" t="s">
        <v>1008</v>
      </c>
      <c r="C13" s="17">
        <v>76205</v>
      </c>
      <c r="D13" s="17">
        <v>44358547.931199998</v>
      </c>
      <c r="E13" s="58">
        <v>52161</v>
      </c>
      <c r="F13" s="58">
        <v>6429616.8682000004</v>
      </c>
      <c r="G13" s="58">
        <v>197</v>
      </c>
      <c r="H13" s="58">
        <v>56127.847999999998</v>
      </c>
      <c r="I13" s="58">
        <v>16227</v>
      </c>
      <c r="J13" s="58">
        <v>5128396.8351999996</v>
      </c>
      <c r="K13" s="58">
        <v>45</v>
      </c>
      <c r="L13" s="58">
        <v>8004.21</v>
      </c>
      <c r="M13" s="58">
        <v>4185</v>
      </c>
      <c r="N13" s="58">
        <v>30270009.147799999</v>
      </c>
      <c r="O13" s="58">
        <v>540</v>
      </c>
      <c r="P13" s="58">
        <v>570832.92189999996</v>
      </c>
      <c r="Q13" s="58">
        <v>2674</v>
      </c>
      <c r="R13" s="58">
        <v>1535986.9091</v>
      </c>
      <c r="S13" s="58">
        <v>125</v>
      </c>
      <c r="T13" s="58">
        <v>353544.766</v>
      </c>
      <c r="U13" s="17">
        <v>51</v>
      </c>
      <c r="V13" s="17">
        <v>6028.4250000000002</v>
      </c>
    </row>
    <row r="14" spans="1:22" s="35" customFormat="1" ht="18" customHeight="1">
      <c r="B14" s="13" t="s">
        <v>1009</v>
      </c>
      <c r="C14" s="17">
        <v>19428</v>
      </c>
      <c r="D14" s="17">
        <v>16035867.659299999</v>
      </c>
      <c r="E14" s="58">
        <v>15783</v>
      </c>
      <c r="F14" s="58">
        <v>1580340.6782</v>
      </c>
      <c r="G14" s="58">
        <v>139</v>
      </c>
      <c r="H14" s="58">
        <v>41947.15</v>
      </c>
      <c r="I14" s="58">
        <v>1265</v>
      </c>
      <c r="J14" s="58">
        <v>557840.19960000005</v>
      </c>
      <c r="K14" s="58">
        <v>9</v>
      </c>
      <c r="L14" s="58">
        <v>1126.8399999999999</v>
      </c>
      <c r="M14" s="58">
        <v>1956</v>
      </c>
      <c r="N14" s="58">
        <v>13632922.5931</v>
      </c>
      <c r="O14" s="58">
        <v>70</v>
      </c>
      <c r="P14" s="58">
        <v>89054.705600000001</v>
      </c>
      <c r="Q14" s="58">
        <v>187</v>
      </c>
      <c r="R14" s="58">
        <v>89346.867800000007</v>
      </c>
      <c r="S14" s="58">
        <v>19</v>
      </c>
      <c r="T14" s="58">
        <v>43288.625</v>
      </c>
      <c r="U14" s="17">
        <v>0</v>
      </c>
      <c r="V14" s="17">
        <v>0</v>
      </c>
    </row>
    <row r="15" spans="1:22" s="35" customFormat="1" ht="18" customHeight="1">
      <c r="B15" s="13" t="s">
        <v>1010</v>
      </c>
      <c r="C15" s="17">
        <v>659642</v>
      </c>
      <c r="D15" s="17">
        <v>502659091.66213298</v>
      </c>
      <c r="E15" s="58">
        <v>392071</v>
      </c>
      <c r="F15" s="58">
        <v>47811176.202234</v>
      </c>
      <c r="G15" s="58">
        <v>1360</v>
      </c>
      <c r="H15" s="58">
        <v>393972.5919</v>
      </c>
      <c r="I15" s="58">
        <v>135533</v>
      </c>
      <c r="J15" s="58">
        <v>40655431.316950001</v>
      </c>
      <c r="K15" s="58">
        <v>165</v>
      </c>
      <c r="L15" s="58">
        <v>64380.409</v>
      </c>
      <c r="M15" s="58">
        <v>43314</v>
      </c>
      <c r="N15" s="58">
        <v>357019262.76819998</v>
      </c>
      <c r="O15" s="58">
        <v>8393</v>
      </c>
      <c r="P15" s="58">
        <v>11932874.0801</v>
      </c>
      <c r="Q15" s="58">
        <v>77737</v>
      </c>
      <c r="R15" s="58">
        <v>42991944.847549997</v>
      </c>
      <c r="S15" s="58">
        <v>941</v>
      </c>
      <c r="T15" s="58">
        <v>1629295.9369000001</v>
      </c>
      <c r="U15" s="17">
        <v>128</v>
      </c>
      <c r="V15" s="17">
        <v>160753.50930000001</v>
      </c>
    </row>
    <row r="16" spans="1:22" s="35" customFormat="1" ht="18" customHeight="1">
      <c r="B16" s="13" t="s">
        <v>1461</v>
      </c>
      <c r="C16" s="17">
        <v>278327</v>
      </c>
      <c r="D16" s="17">
        <v>64847505.977762997</v>
      </c>
      <c r="E16" s="58">
        <v>243530</v>
      </c>
      <c r="F16" s="58">
        <v>21127878.597663</v>
      </c>
      <c r="G16" s="58">
        <v>296</v>
      </c>
      <c r="H16" s="58">
        <v>78329.038</v>
      </c>
      <c r="I16" s="58">
        <v>25340</v>
      </c>
      <c r="J16" s="58">
        <v>6934930.3186999997</v>
      </c>
      <c r="K16" s="58">
        <v>221</v>
      </c>
      <c r="L16" s="58">
        <v>38191.375999999997</v>
      </c>
      <c r="M16" s="58">
        <v>5257</v>
      </c>
      <c r="N16" s="58">
        <v>33696419.516500004</v>
      </c>
      <c r="O16" s="58">
        <v>1602</v>
      </c>
      <c r="P16" s="58">
        <v>1610516.0588</v>
      </c>
      <c r="Q16" s="58">
        <v>1727</v>
      </c>
      <c r="R16" s="58">
        <v>874689.51619999995</v>
      </c>
      <c r="S16" s="58">
        <v>253</v>
      </c>
      <c r="T16" s="58">
        <v>458762.7231</v>
      </c>
      <c r="U16" s="17">
        <v>101</v>
      </c>
      <c r="V16" s="17">
        <v>27788.8328</v>
      </c>
    </row>
    <row r="17" spans="1:22" s="35" customFormat="1" ht="18" customHeight="1">
      <c r="B17" s="13" t="s">
        <v>1011</v>
      </c>
      <c r="C17" s="17">
        <v>247945</v>
      </c>
      <c r="D17" s="17">
        <v>68352952.735799998</v>
      </c>
      <c r="E17" s="58">
        <v>215465</v>
      </c>
      <c r="F17" s="58">
        <v>20193732.9285</v>
      </c>
      <c r="G17" s="58">
        <v>713</v>
      </c>
      <c r="H17" s="58">
        <v>208462.3082</v>
      </c>
      <c r="I17" s="58">
        <v>22078</v>
      </c>
      <c r="J17" s="58">
        <v>7883851.7262000004</v>
      </c>
      <c r="K17" s="58">
        <v>36</v>
      </c>
      <c r="L17" s="58">
        <v>8411.8248000000003</v>
      </c>
      <c r="M17" s="58">
        <v>5228</v>
      </c>
      <c r="N17" s="58">
        <v>36849674.6219</v>
      </c>
      <c r="O17" s="58">
        <v>1107</v>
      </c>
      <c r="P17" s="58">
        <v>1196849.7128999999</v>
      </c>
      <c r="Q17" s="58">
        <v>2557</v>
      </c>
      <c r="R17" s="58">
        <v>1561048.8152999999</v>
      </c>
      <c r="S17" s="58">
        <v>167</v>
      </c>
      <c r="T17" s="58">
        <v>417015.16100000002</v>
      </c>
      <c r="U17" s="17">
        <v>594</v>
      </c>
      <c r="V17" s="17">
        <v>33905.637000000002</v>
      </c>
    </row>
    <row r="18" spans="1:22" s="35" customFormat="1" ht="18" customHeight="1">
      <c r="B18" s="13" t="s">
        <v>1012</v>
      </c>
      <c r="C18" s="17">
        <v>338288</v>
      </c>
      <c r="D18" s="17">
        <v>89275780.922399998</v>
      </c>
      <c r="E18" s="58">
        <v>304096</v>
      </c>
      <c r="F18" s="58">
        <v>26620574.7947</v>
      </c>
      <c r="G18" s="58">
        <v>464</v>
      </c>
      <c r="H18" s="58">
        <v>114405.973</v>
      </c>
      <c r="I18" s="58">
        <v>19775</v>
      </c>
      <c r="J18" s="58">
        <v>7776825.0820000004</v>
      </c>
      <c r="K18" s="58">
        <v>113</v>
      </c>
      <c r="L18" s="58">
        <v>20176.325000000001</v>
      </c>
      <c r="M18" s="58">
        <v>6970</v>
      </c>
      <c r="N18" s="58">
        <v>49446127.038599998</v>
      </c>
      <c r="O18" s="58">
        <v>1438</v>
      </c>
      <c r="P18" s="58">
        <v>1798232.7219</v>
      </c>
      <c r="Q18" s="58">
        <v>4883</v>
      </c>
      <c r="R18" s="58">
        <v>2570257.5896999999</v>
      </c>
      <c r="S18" s="58">
        <v>509</v>
      </c>
      <c r="T18" s="58">
        <v>888242.69850000006</v>
      </c>
      <c r="U18" s="17">
        <v>40</v>
      </c>
      <c r="V18" s="17">
        <v>40938.699000000001</v>
      </c>
    </row>
    <row r="19" spans="1:22" s="35" customFormat="1" ht="18" customHeight="1">
      <c r="B19" s="111" t="s">
        <v>1548</v>
      </c>
      <c r="C19" s="17">
        <v>270777</v>
      </c>
      <c r="D19" s="17">
        <v>71018326.511999995</v>
      </c>
      <c r="E19" s="58">
        <v>246296</v>
      </c>
      <c r="F19" s="58">
        <v>21704536.191300001</v>
      </c>
      <c r="G19" s="58">
        <v>343</v>
      </c>
      <c r="H19" s="58">
        <v>100185.048</v>
      </c>
      <c r="I19" s="58">
        <v>15186</v>
      </c>
      <c r="J19" s="58">
        <v>6096889.4271</v>
      </c>
      <c r="K19" s="58">
        <v>89</v>
      </c>
      <c r="L19" s="58">
        <v>16778.735000000001</v>
      </c>
      <c r="M19" s="58">
        <v>5567</v>
      </c>
      <c r="N19" s="58">
        <v>40386169.736900002</v>
      </c>
      <c r="O19" s="58">
        <v>1433</v>
      </c>
      <c r="P19" s="58">
        <v>1509611.3289999999</v>
      </c>
      <c r="Q19" s="58">
        <v>1679</v>
      </c>
      <c r="R19" s="58">
        <v>836904.29570000002</v>
      </c>
      <c r="S19" s="58">
        <v>125</v>
      </c>
      <c r="T19" s="58">
        <v>242343.109</v>
      </c>
      <c r="U19" s="17">
        <v>59</v>
      </c>
      <c r="V19" s="17">
        <v>124908.64</v>
      </c>
    </row>
    <row r="20" spans="1:22" s="35" customFormat="1" ht="18" customHeight="1">
      <c r="B20" s="13" t="s">
        <v>1013</v>
      </c>
      <c r="C20" s="17">
        <v>430874</v>
      </c>
      <c r="D20" s="17">
        <v>74256538.747419998</v>
      </c>
      <c r="E20" s="58">
        <v>411578</v>
      </c>
      <c r="F20" s="58">
        <v>32019550.67582</v>
      </c>
      <c r="G20" s="58">
        <v>856</v>
      </c>
      <c r="H20" s="58">
        <v>237745.23850000001</v>
      </c>
      <c r="I20" s="58">
        <v>9735</v>
      </c>
      <c r="J20" s="58">
        <v>2974346.8901999998</v>
      </c>
      <c r="K20" s="58">
        <v>328</v>
      </c>
      <c r="L20" s="58">
        <v>56399.864999999998</v>
      </c>
      <c r="M20" s="58">
        <v>5404</v>
      </c>
      <c r="N20" s="58">
        <v>36104912.211300001</v>
      </c>
      <c r="O20" s="58">
        <v>1284</v>
      </c>
      <c r="P20" s="58">
        <v>1606759.0822999999</v>
      </c>
      <c r="Q20" s="58">
        <v>1402</v>
      </c>
      <c r="R20" s="58">
        <v>749413.66630000004</v>
      </c>
      <c r="S20" s="58">
        <v>277</v>
      </c>
      <c r="T20" s="58">
        <v>502338.26299999998</v>
      </c>
      <c r="U20" s="17">
        <v>10</v>
      </c>
      <c r="V20" s="17">
        <v>5072.8549999999996</v>
      </c>
    </row>
    <row r="21" spans="1:22" s="35" customFormat="1" ht="18" customHeight="1">
      <c r="B21" s="13" t="s">
        <v>1014</v>
      </c>
      <c r="C21" s="17">
        <v>509429</v>
      </c>
      <c r="D21" s="17">
        <v>107816273.00560001</v>
      </c>
      <c r="E21" s="58">
        <v>457468</v>
      </c>
      <c r="F21" s="58">
        <v>36444205.728200004</v>
      </c>
      <c r="G21" s="58">
        <v>543</v>
      </c>
      <c r="H21" s="58">
        <v>139281.05499999999</v>
      </c>
      <c r="I21" s="58">
        <v>32493</v>
      </c>
      <c r="J21" s="58">
        <v>11424274.445499999</v>
      </c>
      <c r="K21" s="58">
        <v>105</v>
      </c>
      <c r="L21" s="58">
        <v>23310.634999999998</v>
      </c>
      <c r="M21" s="58">
        <v>8544</v>
      </c>
      <c r="N21" s="58">
        <v>53537048.049199998</v>
      </c>
      <c r="O21" s="58">
        <v>1903</v>
      </c>
      <c r="P21" s="58">
        <v>2281838.4638</v>
      </c>
      <c r="Q21" s="58">
        <v>5943</v>
      </c>
      <c r="R21" s="58">
        <v>3123895.9608</v>
      </c>
      <c r="S21" s="58">
        <v>401</v>
      </c>
      <c r="T21" s="58">
        <v>709540.85060000001</v>
      </c>
      <c r="U21" s="17">
        <v>2029</v>
      </c>
      <c r="V21" s="17">
        <v>132877.8175</v>
      </c>
    </row>
    <row r="22" spans="1:22" s="35" customFormat="1" ht="18" customHeight="1">
      <c r="B22" s="13" t="s">
        <v>1015</v>
      </c>
      <c r="C22" s="17">
        <v>478867</v>
      </c>
      <c r="D22" s="17">
        <v>133572343.21465001</v>
      </c>
      <c r="E22" s="58">
        <v>417989</v>
      </c>
      <c r="F22" s="58">
        <v>36096467.98065</v>
      </c>
      <c r="G22" s="58">
        <v>428</v>
      </c>
      <c r="H22" s="58">
        <v>113274.44899999999</v>
      </c>
      <c r="I22" s="58">
        <v>41330</v>
      </c>
      <c r="J22" s="58">
        <v>12328744.1412</v>
      </c>
      <c r="K22" s="58">
        <v>175</v>
      </c>
      <c r="L22" s="58">
        <v>32532.481800000001</v>
      </c>
      <c r="M22" s="58">
        <v>11842</v>
      </c>
      <c r="N22" s="58">
        <v>79621135.5352</v>
      </c>
      <c r="O22" s="58">
        <v>1722</v>
      </c>
      <c r="P22" s="58">
        <v>2101949.0518</v>
      </c>
      <c r="Q22" s="58">
        <v>4627</v>
      </c>
      <c r="R22" s="58">
        <v>2590023.0359999998</v>
      </c>
      <c r="S22" s="58">
        <v>355</v>
      </c>
      <c r="T22" s="58">
        <v>641713.99560000002</v>
      </c>
      <c r="U22" s="17">
        <v>399</v>
      </c>
      <c r="V22" s="17">
        <v>46502.543400000002</v>
      </c>
    </row>
    <row r="23" spans="1:22" s="35" customFormat="1" ht="18" customHeight="1">
      <c r="B23" s="13" t="s">
        <v>1016</v>
      </c>
      <c r="C23" s="17">
        <v>114852</v>
      </c>
      <c r="D23" s="17">
        <v>25424249.877659999</v>
      </c>
      <c r="E23" s="58">
        <v>94537</v>
      </c>
      <c r="F23" s="58">
        <v>9002315.8208600003</v>
      </c>
      <c r="G23" s="58">
        <v>83</v>
      </c>
      <c r="H23" s="58">
        <v>18614.53</v>
      </c>
      <c r="I23" s="58">
        <v>10802</v>
      </c>
      <c r="J23" s="58">
        <v>3077074.8317</v>
      </c>
      <c r="K23" s="58">
        <v>17</v>
      </c>
      <c r="L23" s="58">
        <v>7469.28</v>
      </c>
      <c r="M23" s="58">
        <v>2090</v>
      </c>
      <c r="N23" s="58">
        <v>7349083.0821000002</v>
      </c>
      <c r="O23" s="58">
        <v>2215</v>
      </c>
      <c r="P23" s="58">
        <v>3119586.3716000002</v>
      </c>
      <c r="Q23" s="58">
        <v>4993</v>
      </c>
      <c r="R23" s="58">
        <v>2676301.5594000001</v>
      </c>
      <c r="S23" s="58">
        <v>101</v>
      </c>
      <c r="T23" s="58">
        <v>169723.57</v>
      </c>
      <c r="U23" s="17">
        <v>14</v>
      </c>
      <c r="V23" s="17">
        <v>4080.8319999999999</v>
      </c>
    </row>
    <row r="24" spans="1:22" ht="18" customHeight="1">
      <c r="A24" s="48"/>
      <c r="B24" s="48"/>
      <c r="C24" s="41"/>
      <c r="E24" s="41"/>
      <c r="G24" s="41"/>
      <c r="I24" s="41"/>
      <c r="K24" s="41"/>
      <c r="M24" s="41"/>
      <c r="O24" s="41"/>
      <c r="Q24" s="41"/>
      <c r="S24" s="41"/>
      <c r="U24" s="41"/>
    </row>
    <row r="25" spans="1:22" ht="18" customHeight="1">
      <c r="A25" s="48"/>
      <c r="B25" s="48"/>
      <c r="D25" s="41"/>
      <c r="F25" s="41"/>
      <c r="H25" s="41"/>
      <c r="J25" s="41"/>
      <c r="L25" s="41"/>
      <c r="N25" s="41"/>
      <c r="P25" s="41"/>
      <c r="R25" s="41"/>
      <c r="T25" s="41"/>
      <c r="V25" s="41"/>
    </row>
    <row r="27" spans="1:22" ht="18" customHeight="1">
      <c r="F27" s="41"/>
      <c r="J27" s="41"/>
      <c r="N27" s="41"/>
      <c r="P27" s="41"/>
      <c r="R27" s="41"/>
    </row>
    <row r="28" spans="1:22" ht="18" customHeight="1">
      <c r="F28" s="41"/>
      <c r="J28" s="41"/>
      <c r="N28" s="41"/>
      <c r="P28" s="41"/>
      <c r="R28" s="41"/>
    </row>
  </sheetData>
  <mergeCells count="11">
    <mergeCell ref="B4:B5"/>
    <mergeCell ref="O4:P4"/>
    <mergeCell ref="Q4:R4"/>
    <mergeCell ref="S4:T4"/>
    <mergeCell ref="U4:V4"/>
    <mergeCell ref="I4:J4"/>
    <mergeCell ref="K4:L4"/>
    <mergeCell ref="M4:N4"/>
    <mergeCell ref="C4:D4"/>
    <mergeCell ref="E4:F4"/>
    <mergeCell ref="G4:H4"/>
  </mergeCells>
  <phoneticPr fontId="3" type="noConversion"/>
  <pageMargins left="0.7" right="0.7" top="0.75" bottom="0.75" header="0.3" footer="0.3"/>
  <pageSetup paperSize="9" scale="4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28"/>
  <sheetViews>
    <sheetView zoomScaleNormal="100" workbookViewId="0">
      <selection activeCell="B1" sqref="B1"/>
    </sheetView>
  </sheetViews>
  <sheetFormatPr defaultColWidth="9" defaultRowHeight="18" customHeight="1"/>
  <cols>
    <col min="1" max="1" width="2.625" style="10" customWidth="1"/>
    <col min="2" max="2" width="16.625" style="10" customWidth="1"/>
    <col min="3" max="3" width="11.625" style="10" customWidth="1"/>
    <col min="4" max="4" width="13.625" style="10" customWidth="1"/>
    <col min="5" max="5" width="11.625" style="10" customWidth="1"/>
    <col min="6" max="6" width="13.625" style="10" customWidth="1"/>
    <col min="7" max="7" width="11.625" style="10" customWidth="1"/>
    <col min="8" max="8" width="13.625" style="10" customWidth="1"/>
    <col min="9" max="9" width="11.625" style="10" customWidth="1"/>
    <col min="10" max="10" width="13.625" style="10" customWidth="1"/>
    <col min="11" max="11" width="11.625" style="10" customWidth="1"/>
    <col min="12" max="12" width="13.625" style="10" customWidth="1"/>
    <col min="13" max="13" width="11.625" style="10" customWidth="1"/>
    <col min="14" max="14" width="13.625" style="10" customWidth="1"/>
    <col min="15" max="15" width="11.625" style="10" customWidth="1"/>
    <col min="16" max="16" width="13.625" style="10" customWidth="1"/>
    <col min="17" max="17" width="11.625" style="10" customWidth="1"/>
    <col min="18" max="18" width="13.625" style="10" customWidth="1"/>
    <col min="19" max="19" width="11.625" style="10" customWidth="1"/>
    <col min="20" max="20" width="13.625" style="10" customWidth="1"/>
    <col min="21" max="21" width="11.625" style="10" customWidth="1"/>
    <col min="22" max="22" width="13.625" style="10" customWidth="1"/>
    <col min="23" max="23" width="11.625" style="10" customWidth="1"/>
    <col min="24" max="24" width="13.625" style="10" customWidth="1"/>
    <col min="25" max="16384" width="9" style="10"/>
  </cols>
  <sheetData>
    <row r="1" spans="1:24" s="18" customFormat="1" ht="30" customHeight="1">
      <c r="A1" s="7" t="str">
        <f>목차!B6</f>
        <v>3. 2023년 상업용 건축물 현황</v>
      </c>
    </row>
    <row r="2" spans="1:24" s="18" customFormat="1" ht="18" customHeight="1">
      <c r="A2" s="19" t="s">
        <v>930</v>
      </c>
    </row>
    <row r="3" spans="1:24" s="18" customFormat="1" ht="18" customHeight="1">
      <c r="X3" s="11" t="s">
        <v>915</v>
      </c>
    </row>
    <row r="4" spans="1:24" s="18" customFormat="1" ht="18" customHeight="1">
      <c r="B4" s="113" t="s">
        <v>916</v>
      </c>
      <c r="C4" s="112" t="s">
        <v>917</v>
      </c>
      <c r="D4" s="112"/>
      <c r="E4" s="112" t="s">
        <v>856</v>
      </c>
      <c r="F4" s="112"/>
      <c r="G4" s="112" t="s">
        <v>857</v>
      </c>
      <c r="H4" s="112"/>
      <c r="I4" s="112" t="s">
        <v>858</v>
      </c>
      <c r="J4" s="112"/>
      <c r="K4" s="112" t="s">
        <v>859</v>
      </c>
      <c r="L4" s="112"/>
      <c r="M4" s="112" t="s">
        <v>860</v>
      </c>
      <c r="N4" s="112"/>
      <c r="O4" s="112" t="s">
        <v>861</v>
      </c>
      <c r="P4" s="112"/>
      <c r="Q4" s="112" t="s">
        <v>862</v>
      </c>
      <c r="R4" s="112"/>
      <c r="S4" s="112" t="s">
        <v>863</v>
      </c>
      <c r="T4" s="112"/>
      <c r="U4" s="112" t="s">
        <v>864</v>
      </c>
      <c r="V4" s="112"/>
      <c r="W4" s="112" t="s">
        <v>865</v>
      </c>
      <c r="X4" s="112"/>
    </row>
    <row r="5" spans="1:24" s="18" customFormat="1" ht="18" customHeight="1">
      <c r="B5" s="113"/>
      <c r="C5" s="71" t="s">
        <v>919</v>
      </c>
      <c r="D5" s="71" t="s">
        <v>920</v>
      </c>
      <c r="E5" s="71" t="s">
        <v>919</v>
      </c>
      <c r="F5" s="71" t="s">
        <v>920</v>
      </c>
      <c r="G5" s="71" t="s">
        <v>919</v>
      </c>
      <c r="H5" s="71" t="s">
        <v>920</v>
      </c>
      <c r="I5" s="71" t="s">
        <v>919</v>
      </c>
      <c r="J5" s="71" t="s">
        <v>920</v>
      </c>
      <c r="K5" s="71" t="s">
        <v>919</v>
      </c>
      <c r="L5" s="71" t="s">
        <v>920</v>
      </c>
      <c r="M5" s="71" t="s">
        <v>919</v>
      </c>
      <c r="N5" s="71" t="s">
        <v>920</v>
      </c>
      <c r="O5" s="71" t="s">
        <v>919</v>
      </c>
      <c r="P5" s="71" t="s">
        <v>920</v>
      </c>
      <c r="Q5" s="71" t="s">
        <v>919</v>
      </c>
      <c r="R5" s="71" t="s">
        <v>920</v>
      </c>
      <c r="S5" s="71" t="s">
        <v>919</v>
      </c>
      <c r="T5" s="71" t="s">
        <v>920</v>
      </c>
      <c r="U5" s="71" t="s">
        <v>919</v>
      </c>
      <c r="V5" s="71" t="s">
        <v>920</v>
      </c>
      <c r="W5" s="71" t="s">
        <v>919</v>
      </c>
      <c r="X5" s="71" t="s">
        <v>920</v>
      </c>
    </row>
    <row r="6" spans="1:24" s="18" customFormat="1" ht="18" customHeight="1">
      <c r="B6" s="13" t="s">
        <v>931</v>
      </c>
      <c r="C6" s="17">
        <v>1392582</v>
      </c>
      <c r="D6" s="17">
        <v>934688689.27699995</v>
      </c>
      <c r="E6" s="17">
        <v>562479</v>
      </c>
      <c r="F6" s="17">
        <v>245614423.51499999</v>
      </c>
      <c r="G6" s="17">
        <v>649454</v>
      </c>
      <c r="H6" s="17">
        <v>295886731.00599998</v>
      </c>
      <c r="I6" s="17">
        <v>11742</v>
      </c>
      <c r="J6" s="17">
        <v>66337440.737999998</v>
      </c>
      <c r="K6" s="17">
        <v>31848</v>
      </c>
      <c r="L6" s="17">
        <v>181632712.04899999</v>
      </c>
      <c r="M6" s="17">
        <v>6032</v>
      </c>
      <c r="N6" s="17">
        <v>6850859.1469999999</v>
      </c>
      <c r="O6" s="17">
        <v>45250</v>
      </c>
      <c r="P6" s="17">
        <v>54995788.088</v>
      </c>
      <c r="Q6" s="17">
        <v>3916</v>
      </c>
      <c r="R6" s="17">
        <v>14707497.188999999</v>
      </c>
      <c r="S6" s="17">
        <v>32141</v>
      </c>
      <c r="T6" s="17">
        <v>6751492.0480000004</v>
      </c>
      <c r="U6" s="17">
        <v>33440</v>
      </c>
      <c r="V6" s="17">
        <v>47175747.204999998</v>
      </c>
      <c r="W6" s="17">
        <v>16280</v>
      </c>
      <c r="X6" s="17">
        <v>14735998.291999999</v>
      </c>
    </row>
    <row r="7" spans="1:24" s="18" customFormat="1" ht="18" customHeight="1">
      <c r="B7" s="13" t="s">
        <v>921</v>
      </c>
      <c r="C7" s="17">
        <v>127876</v>
      </c>
      <c r="D7" s="17">
        <v>186782639.33590001</v>
      </c>
      <c r="E7" s="58">
        <v>53487</v>
      </c>
      <c r="F7" s="58">
        <v>38847798.792110004</v>
      </c>
      <c r="G7" s="58">
        <v>56730</v>
      </c>
      <c r="H7" s="58">
        <v>44673506.379239999</v>
      </c>
      <c r="I7" s="58">
        <v>1199</v>
      </c>
      <c r="J7" s="58">
        <v>18422100.718049999</v>
      </c>
      <c r="K7" s="58">
        <v>9845</v>
      </c>
      <c r="L7" s="58">
        <v>65096795.047799997</v>
      </c>
      <c r="M7" s="58">
        <v>207</v>
      </c>
      <c r="N7" s="58">
        <v>524057.70500000002</v>
      </c>
      <c r="O7" s="58">
        <v>1913</v>
      </c>
      <c r="P7" s="58">
        <v>6166146.5643999996</v>
      </c>
      <c r="Q7" s="58">
        <v>261</v>
      </c>
      <c r="R7" s="58">
        <v>1523645.6821000001</v>
      </c>
      <c r="S7" s="58">
        <v>650</v>
      </c>
      <c r="T7" s="58">
        <v>247420.44</v>
      </c>
      <c r="U7" s="58">
        <v>1712</v>
      </c>
      <c r="V7" s="58">
        <v>8065749.9731999999</v>
      </c>
      <c r="W7" s="17">
        <v>1872</v>
      </c>
      <c r="X7" s="17">
        <v>3215418.034</v>
      </c>
    </row>
    <row r="8" spans="1:24" s="18" customFormat="1" ht="18" customHeight="1">
      <c r="B8" s="13" t="s">
        <v>922</v>
      </c>
      <c r="C8" s="17">
        <v>73754</v>
      </c>
      <c r="D8" s="17">
        <v>64595346.499979898</v>
      </c>
      <c r="E8" s="58">
        <v>27770</v>
      </c>
      <c r="F8" s="58">
        <v>14149779.275830001</v>
      </c>
      <c r="G8" s="58">
        <v>34667</v>
      </c>
      <c r="H8" s="58">
        <v>20591010.93279</v>
      </c>
      <c r="I8" s="58">
        <v>936</v>
      </c>
      <c r="J8" s="58">
        <v>5201259.3073000005</v>
      </c>
      <c r="K8" s="58">
        <v>3332</v>
      </c>
      <c r="L8" s="58">
        <v>13257036.5229</v>
      </c>
      <c r="M8" s="58">
        <v>336</v>
      </c>
      <c r="N8" s="58">
        <v>630927.65930000006</v>
      </c>
      <c r="O8" s="58">
        <v>2357</v>
      </c>
      <c r="P8" s="58">
        <v>4376449.2088599997</v>
      </c>
      <c r="Q8" s="58">
        <v>432</v>
      </c>
      <c r="R8" s="58">
        <v>1775746.5756000001</v>
      </c>
      <c r="S8" s="58">
        <v>1206</v>
      </c>
      <c r="T8" s="58">
        <v>225343.74239999999</v>
      </c>
      <c r="U8" s="58">
        <v>1756</v>
      </c>
      <c r="V8" s="58">
        <v>3528262.9715</v>
      </c>
      <c r="W8" s="17">
        <v>962</v>
      </c>
      <c r="X8" s="17">
        <v>859530.30350000004</v>
      </c>
    </row>
    <row r="9" spans="1:24" s="18" customFormat="1" ht="18" customHeight="1">
      <c r="B9" s="13" t="s">
        <v>923</v>
      </c>
      <c r="C9" s="17">
        <v>54117</v>
      </c>
      <c r="D9" s="17">
        <v>45453595.508599997</v>
      </c>
      <c r="E9" s="58">
        <v>22628</v>
      </c>
      <c r="F9" s="58">
        <v>12699332.141249999</v>
      </c>
      <c r="G9" s="58">
        <v>25200</v>
      </c>
      <c r="H9" s="58">
        <v>13403514.13105</v>
      </c>
      <c r="I9" s="58">
        <v>1079</v>
      </c>
      <c r="J9" s="58">
        <v>3028015.1735</v>
      </c>
      <c r="K9" s="58">
        <v>963</v>
      </c>
      <c r="L9" s="58">
        <v>8652736.4149999991</v>
      </c>
      <c r="M9" s="58">
        <v>224</v>
      </c>
      <c r="N9" s="58">
        <v>311205.158</v>
      </c>
      <c r="O9" s="58">
        <v>942</v>
      </c>
      <c r="P9" s="58">
        <v>1295444.4161</v>
      </c>
      <c r="Q9" s="58">
        <v>157</v>
      </c>
      <c r="R9" s="58">
        <v>2898961.6150000002</v>
      </c>
      <c r="S9" s="58">
        <v>873</v>
      </c>
      <c r="T9" s="58">
        <v>163786.23000000001</v>
      </c>
      <c r="U9" s="58">
        <v>1337</v>
      </c>
      <c r="V9" s="58">
        <v>2106367.6795999999</v>
      </c>
      <c r="W9" s="17">
        <v>714</v>
      </c>
      <c r="X9" s="17">
        <v>894232.54909999995</v>
      </c>
    </row>
    <row r="10" spans="1:24" s="18" customFormat="1" ht="18" customHeight="1">
      <c r="B10" s="13" t="s">
        <v>924</v>
      </c>
      <c r="C10" s="17">
        <v>47743</v>
      </c>
      <c r="D10" s="17">
        <v>55915629.386600003</v>
      </c>
      <c r="E10" s="58">
        <v>17821</v>
      </c>
      <c r="F10" s="58">
        <v>11956109.15285</v>
      </c>
      <c r="G10" s="58">
        <v>21368</v>
      </c>
      <c r="H10" s="58">
        <v>14391959.87215</v>
      </c>
      <c r="I10" s="58">
        <v>514</v>
      </c>
      <c r="J10" s="58">
        <v>4172641.1206999999</v>
      </c>
      <c r="K10" s="58">
        <v>1971</v>
      </c>
      <c r="L10" s="58">
        <v>13771872.3994</v>
      </c>
      <c r="M10" s="58">
        <v>162</v>
      </c>
      <c r="N10" s="58">
        <v>275906.01919999998</v>
      </c>
      <c r="O10" s="58">
        <v>1951</v>
      </c>
      <c r="P10" s="58">
        <v>2552770.9542</v>
      </c>
      <c r="Q10" s="58">
        <v>662</v>
      </c>
      <c r="R10" s="58">
        <v>4783608.6734999996</v>
      </c>
      <c r="S10" s="58">
        <v>1218</v>
      </c>
      <c r="T10" s="58">
        <v>382464.52370000002</v>
      </c>
      <c r="U10" s="58">
        <v>1397</v>
      </c>
      <c r="V10" s="58">
        <v>2898847.2344999998</v>
      </c>
      <c r="W10" s="17">
        <v>679</v>
      </c>
      <c r="X10" s="17">
        <v>729449.43640000001</v>
      </c>
    </row>
    <row r="11" spans="1:24" s="18" customFormat="1" ht="18" customHeight="1">
      <c r="B11" s="13" t="s">
        <v>925</v>
      </c>
      <c r="C11" s="17">
        <v>33625</v>
      </c>
      <c r="D11" s="17">
        <v>24411787.726999901</v>
      </c>
      <c r="E11" s="58">
        <v>14183</v>
      </c>
      <c r="F11" s="58">
        <v>6770066.5712599996</v>
      </c>
      <c r="G11" s="58">
        <v>15345</v>
      </c>
      <c r="H11" s="58">
        <v>8061994.9704400003</v>
      </c>
      <c r="I11" s="58">
        <v>346</v>
      </c>
      <c r="J11" s="58">
        <v>1541448.4039</v>
      </c>
      <c r="K11" s="58">
        <v>598</v>
      </c>
      <c r="L11" s="58">
        <v>3486290.5734999999</v>
      </c>
      <c r="M11" s="58">
        <v>129</v>
      </c>
      <c r="N11" s="58">
        <v>216453.74859999999</v>
      </c>
      <c r="O11" s="58">
        <v>881</v>
      </c>
      <c r="P11" s="58">
        <v>900395.26370000001</v>
      </c>
      <c r="Q11" s="58">
        <v>75</v>
      </c>
      <c r="R11" s="58">
        <v>221792.2</v>
      </c>
      <c r="S11" s="58">
        <v>469</v>
      </c>
      <c r="T11" s="58">
        <v>100428.31</v>
      </c>
      <c r="U11" s="58">
        <v>962</v>
      </c>
      <c r="V11" s="58">
        <v>1365906.4101</v>
      </c>
      <c r="W11" s="17">
        <v>637</v>
      </c>
      <c r="X11" s="17">
        <v>1747011.2755</v>
      </c>
    </row>
    <row r="12" spans="1:24" s="18" customFormat="1" ht="18" customHeight="1">
      <c r="B12" s="13" t="s">
        <v>926</v>
      </c>
      <c r="C12" s="17">
        <v>27220</v>
      </c>
      <c r="D12" s="17">
        <v>25161964.497899901</v>
      </c>
      <c r="E12" s="58">
        <v>10184</v>
      </c>
      <c r="F12" s="58">
        <v>6933105.5887000002</v>
      </c>
      <c r="G12" s="58">
        <v>13155</v>
      </c>
      <c r="H12" s="58">
        <v>8701625.8950999994</v>
      </c>
      <c r="I12" s="58">
        <v>781</v>
      </c>
      <c r="J12" s="58">
        <v>2407837.4635000001</v>
      </c>
      <c r="K12" s="58">
        <v>545</v>
      </c>
      <c r="L12" s="58">
        <v>3821031.8618999999</v>
      </c>
      <c r="M12" s="58">
        <v>69</v>
      </c>
      <c r="N12" s="58">
        <v>138251.80379999999</v>
      </c>
      <c r="O12" s="58">
        <v>776</v>
      </c>
      <c r="P12" s="58">
        <v>1132280.4408</v>
      </c>
      <c r="Q12" s="58">
        <v>56</v>
      </c>
      <c r="R12" s="58">
        <v>101140.7</v>
      </c>
      <c r="S12" s="58">
        <v>580</v>
      </c>
      <c r="T12" s="58">
        <v>135255.62400000001</v>
      </c>
      <c r="U12" s="58">
        <v>835</v>
      </c>
      <c r="V12" s="58">
        <v>1484067.912</v>
      </c>
      <c r="W12" s="17">
        <v>239</v>
      </c>
      <c r="X12" s="17">
        <v>307367.20809999999</v>
      </c>
    </row>
    <row r="13" spans="1:24" s="18" customFormat="1" ht="18" customHeight="1">
      <c r="B13" s="13" t="s">
        <v>927</v>
      </c>
      <c r="C13" s="17">
        <v>31203</v>
      </c>
      <c r="D13" s="17">
        <v>18547142.783999901</v>
      </c>
      <c r="E13" s="58">
        <v>11506</v>
      </c>
      <c r="F13" s="58">
        <v>5366977.0951899998</v>
      </c>
      <c r="G13" s="58">
        <v>14912</v>
      </c>
      <c r="H13" s="58">
        <v>6275319.0796100004</v>
      </c>
      <c r="I13" s="58">
        <v>235</v>
      </c>
      <c r="J13" s="58">
        <v>1300578.8006</v>
      </c>
      <c r="K13" s="58">
        <v>565</v>
      </c>
      <c r="L13" s="58">
        <v>2453687.8969999999</v>
      </c>
      <c r="M13" s="58">
        <v>278</v>
      </c>
      <c r="N13" s="58">
        <v>242742.72029999999</v>
      </c>
      <c r="O13" s="58">
        <v>789</v>
      </c>
      <c r="P13" s="58">
        <v>938892.07579999999</v>
      </c>
      <c r="Q13" s="58">
        <v>87</v>
      </c>
      <c r="R13" s="58">
        <v>76188.359800000006</v>
      </c>
      <c r="S13" s="58">
        <v>1481</v>
      </c>
      <c r="T13" s="58">
        <v>595227.56350000005</v>
      </c>
      <c r="U13" s="58">
        <v>1024</v>
      </c>
      <c r="V13" s="58">
        <v>1134520.5412999999</v>
      </c>
      <c r="W13" s="17">
        <v>326</v>
      </c>
      <c r="X13" s="17">
        <v>163008.65090000001</v>
      </c>
    </row>
    <row r="14" spans="1:24" s="18" customFormat="1" ht="18" customHeight="1">
      <c r="B14" s="13" t="s">
        <v>928</v>
      </c>
      <c r="C14" s="17">
        <v>6833</v>
      </c>
      <c r="D14" s="17">
        <v>5875166.5996000003</v>
      </c>
      <c r="E14" s="58">
        <v>2457</v>
      </c>
      <c r="F14" s="58">
        <v>1844712.4140999999</v>
      </c>
      <c r="G14" s="58">
        <v>3622</v>
      </c>
      <c r="H14" s="58">
        <v>2054444.2450000001</v>
      </c>
      <c r="I14" s="58">
        <v>31</v>
      </c>
      <c r="J14" s="58">
        <v>427318.11099999998</v>
      </c>
      <c r="K14" s="58">
        <v>95</v>
      </c>
      <c r="L14" s="58">
        <v>1084721.6905</v>
      </c>
      <c r="M14" s="58">
        <v>7</v>
      </c>
      <c r="N14" s="58">
        <v>8554.24</v>
      </c>
      <c r="O14" s="58">
        <v>98</v>
      </c>
      <c r="P14" s="58">
        <v>125856.30100000001</v>
      </c>
      <c r="Q14" s="58">
        <v>14</v>
      </c>
      <c r="R14" s="58">
        <v>8610.32</v>
      </c>
      <c r="S14" s="58">
        <v>276</v>
      </c>
      <c r="T14" s="58">
        <v>72054.954400000002</v>
      </c>
      <c r="U14" s="58">
        <v>171</v>
      </c>
      <c r="V14" s="58">
        <v>234582.40419999999</v>
      </c>
      <c r="W14" s="17">
        <v>62</v>
      </c>
      <c r="X14" s="17">
        <v>14311.919400000001</v>
      </c>
    </row>
    <row r="15" spans="1:24" s="18" customFormat="1" ht="18" customHeight="1">
      <c r="B15" s="13" t="s">
        <v>932</v>
      </c>
      <c r="C15" s="17">
        <v>296848</v>
      </c>
      <c r="D15" s="17">
        <v>228778384.680915</v>
      </c>
      <c r="E15" s="58">
        <v>102345</v>
      </c>
      <c r="F15" s="58">
        <v>57261255.769985102</v>
      </c>
      <c r="G15" s="58">
        <v>159910</v>
      </c>
      <c r="H15" s="58">
        <v>77634203.870230004</v>
      </c>
      <c r="I15" s="58">
        <v>1768</v>
      </c>
      <c r="J15" s="58">
        <v>17039995.155499998</v>
      </c>
      <c r="K15" s="58">
        <v>5637</v>
      </c>
      <c r="L15" s="58">
        <v>45631436.524999999</v>
      </c>
      <c r="M15" s="58">
        <v>644</v>
      </c>
      <c r="N15" s="58">
        <v>1059904.392</v>
      </c>
      <c r="O15" s="58">
        <v>7040</v>
      </c>
      <c r="P15" s="58">
        <v>7774842.9585999995</v>
      </c>
      <c r="Q15" s="58">
        <v>550</v>
      </c>
      <c r="R15" s="58">
        <v>1563583.5094999999</v>
      </c>
      <c r="S15" s="58">
        <v>6945</v>
      </c>
      <c r="T15" s="58">
        <v>1779238.8611000001</v>
      </c>
      <c r="U15" s="58">
        <v>8406</v>
      </c>
      <c r="V15" s="58">
        <v>15587882.199999999</v>
      </c>
      <c r="W15" s="17">
        <v>3603</v>
      </c>
      <c r="X15" s="17">
        <v>3446041.4389999998</v>
      </c>
    </row>
    <row r="16" spans="1:24" s="18" customFormat="1" ht="18" customHeight="1">
      <c r="B16" s="13" t="s">
        <v>1460</v>
      </c>
      <c r="C16" s="17">
        <v>79287</v>
      </c>
      <c r="D16" s="17">
        <v>33239229.2150499</v>
      </c>
      <c r="E16" s="58">
        <v>31485</v>
      </c>
      <c r="F16" s="58">
        <v>8917862.0418625008</v>
      </c>
      <c r="G16" s="58">
        <v>34845</v>
      </c>
      <c r="H16" s="58">
        <v>11079875.7881875</v>
      </c>
      <c r="I16" s="58">
        <v>479</v>
      </c>
      <c r="J16" s="58">
        <v>1257659.9823</v>
      </c>
      <c r="K16" s="58">
        <v>917</v>
      </c>
      <c r="L16" s="58">
        <v>1924617.9016</v>
      </c>
      <c r="M16" s="58">
        <v>477</v>
      </c>
      <c r="N16" s="58">
        <v>445537.85450000002</v>
      </c>
      <c r="O16" s="58">
        <v>5748</v>
      </c>
      <c r="P16" s="58">
        <v>7371977.0560999997</v>
      </c>
      <c r="Q16" s="58">
        <v>194</v>
      </c>
      <c r="R16" s="58">
        <v>161362.11350000001</v>
      </c>
      <c r="S16" s="58">
        <v>1813</v>
      </c>
      <c r="T16" s="58">
        <v>302751.58</v>
      </c>
      <c r="U16" s="58">
        <v>1898</v>
      </c>
      <c r="V16" s="58">
        <v>1305525.9983000001</v>
      </c>
      <c r="W16" s="17">
        <v>1431</v>
      </c>
      <c r="X16" s="17">
        <v>472058.89870000002</v>
      </c>
    </row>
    <row r="17" spans="1:24" s="18" customFormat="1" ht="18" customHeight="1">
      <c r="B17" s="13" t="s">
        <v>933</v>
      </c>
      <c r="C17" s="17">
        <v>66614</v>
      </c>
      <c r="D17" s="17">
        <v>27674039.0565999</v>
      </c>
      <c r="E17" s="58">
        <v>28303</v>
      </c>
      <c r="F17" s="58">
        <v>9565668.9980999995</v>
      </c>
      <c r="G17" s="58">
        <v>30634</v>
      </c>
      <c r="H17" s="58">
        <v>10693002.3291</v>
      </c>
      <c r="I17" s="58">
        <v>341</v>
      </c>
      <c r="J17" s="58">
        <v>1174864.4469000001</v>
      </c>
      <c r="K17" s="58">
        <v>790</v>
      </c>
      <c r="L17" s="58">
        <v>1921100.3291</v>
      </c>
      <c r="M17" s="58">
        <v>223</v>
      </c>
      <c r="N17" s="58">
        <v>261087.106</v>
      </c>
      <c r="O17" s="58">
        <v>1914</v>
      </c>
      <c r="P17" s="58">
        <v>1948053.625</v>
      </c>
      <c r="Q17" s="58">
        <v>96</v>
      </c>
      <c r="R17" s="58">
        <v>152653.37</v>
      </c>
      <c r="S17" s="58">
        <v>1897</v>
      </c>
      <c r="T17" s="58">
        <v>325249.02500000002</v>
      </c>
      <c r="U17" s="58">
        <v>1786</v>
      </c>
      <c r="V17" s="58">
        <v>1288533.0094999999</v>
      </c>
      <c r="W17" s="17">
        <v>630</v>
      </c>
      <c r="X17" s="17">
        <v>343826.81790000002</v>
      </c>
    </row>
    <row r="18" spans="1:24" s="18" customFormat="1" ht="18" customHeight="1">
      <c r="B18" s="13" t="s">
        <v>934</v>
      </c>
      <c r="C18" s="17">
        <v>92704</v>
      </c>
      <c r="D18" s="17">
        <v>37901877.478049897</v>
      </c>
      <c r="E18" s="58">
        <v>39781</v>
      </c>
      <c r="F18" s="58">
        <v>12379706.1489</v>
      </c>
      <c r="G18" s="58">
        <v>39751</v>
      </c>
      <c r="H18" s="58">
        <v>13679261.730699999</v>
      </c>
      <c r="I18" s="58">
        <v>730</v>
      </c>
      <c r="J18" s="58">
        <v>1835402.6843999999</v>
      </c>
      <c r="K18" s="58">
        <v>1492</v>
      </c>
      <c r="L18" s="58">
        <v>4202194.1654500002</v>
      </c>
      <c r="M18" s="58">
        <v>338</v>
      </c>
      <c r="N18" s="58">
        <v>351022.33370000002</v>
      </c>
      <c r="O18" s="58">
        <v>3965</v>
      </c>
      <c r="P18" s="58">
        <v>2817370.824</v>
      </c>
      <c r="Q18" s="58">
        <v>145</v>
      </c>
      <c r="R18" s="58">
        <v>200826.8566</v>
      </c>
      <c r="S18" s="58">
        <v>2901</v>
      </c>
      <c r="T18" s="58">
        <v>500311.35649999999</v>
      </c>
      <c r="U18" s="58">
        <v>2427</v>
      </c>
      <c r="V18" s="58">
        <v>1423703.1455000001</v>
      </c>
      <c r="W18" s="17">
        <v>1174</v>
      </c>
      <c r="X18" s="17">
        <v>512078.23229999997</v>
      </c>
    </row>
    <row r="19" spans="1:24" s="18" customFormat="1" ht="18" customHeight="1">
      <c r="B19" s="111" t="s">
        <v>1548</v>
      </c>
      <c r="C19" s="17">
        <v>80990</v>
      </c>
      <c r="D19" s="17">
        <v>31067179.42735</v>
      </c>
      <c r="E19" s="58">
        <v>37486</v>
      </c>
      <c r="F19" s="58">
        <v>11312340.686659999</v>
      </c>
      <c r="G19" s="58">
        <v>34253</v>
      </c>
      <c r="H19" s="58">
        <v>11699566.752289999</v>
      </c>
      <c r="I19" s="58">
        <v>520</v>
      </c>
      <c r="J19" s="58">
        <v>1451143.7871000001</v>
      </c>
      <c r="K19" s="58">
        <v>1119</v>
      </c>
      <c r="L19" s="58">
        <v>2200873.0737999999</v>
      </c>
      <c r="M19" s="58">
        <v>419</v>
      </c>
      <c r="N19" s="58">
        <v>273435.81150000001</v>
      </c>
      <c r="O19" s="58">
        <v>2217</v>
      </c>
      <c r="P19" s="58">
        <v>2244238.1439</v>
      </c>
      <c r="Q19" s="58">
        <v>162</v>
      </c>
      <c r="R19" s="58">
        <v>156310.845</v>
      </c>
      <c r="S19" s="58">
        <v>2100</v>
      </c>
      <c r="T19" s="58">
        <v>308094.75099999999</v>
      </c>
      <c r="U19" s="58">
        <v>1972</v>
      </c>
      <c r="V19" s="58">
        <v>950985.6801</v>
      </c>
      <c r="W19" s="17">
        <v>742</v>
      </c>
      <c r="X19" s="17">
        <v>470189.89600000001</v>
      </c>
    </row>
    <row r="20" spans="1:24" s="18" customFormat="1" ht="18" customHeight="1">
      <c r="B20" s="13" t="s">
        <v>935</v>
      </c>
      <c r="C20" s="17">
        <v>99842</v>
      </c>
      <c r="D20" s="17">
        <v>33028267.565200001</v>
      </c>
      <c r="E20" s="58">
        <v>46763</v>
      </c>
      <c r="F20" s="58">
        <v>10690467.168</v>
      </c>
      <c r="G20" s="58">
        <v>41027</v>
      </c>
      <c r="H20" s="58">
        <v>11823800.0209</v>
      </c>
      <c r="I20" s="58">
        <v>1001</v>
      </c>
      <c r="J20" s="58">
        <v>1505368.7757999999</v>
      </c>
      <c r="K20" s="58">
        <v>1331</v>
      </c>
      <c r="L20" s="58">
        <v>2922890.0224000001</v>
      </c>
      <c r="M20" s="58">
        <v>624</v>
      </c>
      <c r="N20" s="58">
        <v>436221.23700000002</v>
      </c>
      <c r="O20" s="58">
        <v>3702</v>
      </c>
      <c r="P20" s="58">
        <v>3447016.9574000002</v>
      </c>
      <c r="Q20" s="58">
        <v>369</v>
      </c>
      <c r="R20" s="58">
        <v>319284.88900000002</v>
      </c>
      <c r="S20" s="58">
        <v>2529</v>
      </c>
      <c r="T20" s="58">
        <v>400526.99300000002</v>
      </c>
      <c r="U20" s="58">
        <v>1932</v>
      </c>
      <c r="V20" s="58">
        <v>1105764.3747</v>
      </c>
      <c r="W20" s="17">
        <v>564</v>
      </c>
      <c r="X20" s="17">
        <v>376927.12699999998</v>
      </c>
    </row>
    <row r="21" spans="1:24" s="18" customFormat="1" ht="18" customHeight="1">
      <c r="B21" s="13" t="s">
        <v>936</v>
      </c>
      <c r="C21" s="17">
        <v>125321</v>
      </c>
      <c r="D21" s="17">
        <v>42900911.273699999</v>
      </c>
      <c r="E21" s="58">
        <v>50609</v>
      </c>
      <c r="F21" s="58">
        <v>14916448.727700001</v>
      </c>
      <c r="G21" s="58">
        <v>60100</v>
      </c>
      <c r="H21" s="58">
        <v>17438367.286499999</v>
      </c>
      <c r="I21" s="58">
        <v>963</v>
      </c>
      <c r="J21" s="58">
        <v>1788261.5752999999</v>
      </c>
      <c r="K21" s="58">
        <v>998</v>
      </c>
      <c r="L21" s="58">
        <v>2129102.5539000002</v>
      </c>
      <c r="M21" s="58">
        <v>746</v>
      </c>
      <c r="N21" s="58">
        <v>470379.17229999998</v>
      </c>
      <c r="O21" s="58">
        <v>3675</v>
      </c>
      <c r="P21" s="58">
        <v>3284956.1904000002</v>
      </c>
      <c r="Q21" s="58">
        <v>318</v>
      </c>
      <c r="R21" s="58">
        <v>298272.61680000002</v>
      </c>
      <c r="S21" s="58">
        <v>3743</v>
      </c>
      <c r="T21" s="58">
        <v>545164.08600000001</v>
      </c>
      <c r="U21" s="58">
        <v>2846</v>
      </c>
      <c r="V21" s="58">
        <v>1614037.1549</v>
      </c>
      <c r="W21" s="17">
        <v>1323</v>
      </c>
      <c r="X21" s="17">
        <v>415921.90990000003</v>
      </c>
    </row>
    <row r="22" spans="1:24" s="18" customFormat="1" ht="18" customHeight="1">
      <c r="B22" s="13" t="s">
        <v>937</v>
      </c>
      <c r="C22" s="17">
        <v>115917</v>
      </c>
      <c r="D22" s="17">
        <v>53435149.105075002</v>
      </c>
      <c r="E22" s="58">
        <v>53234</v>
      </c>
      <c r="F22" s="58">
        <v>17701471.8358</v>
      </c>
      <c r="G22" s="58">
        <v>49229</v>
      </c>
      <c r="H22" s="58">
        <v>18605484.101300001</v>
      </c>
      <c r="I22" s="58">
        <v>735</v>
      </c>
      <c r="J22" s="58">
        <v>3509610.7940000002</v>
      </c>
      <c r="K22" s="58">
        <v>1261</v>
      </c>
      <c r="L22" s="58">
        <v>5049455.2280999999</v>
      </c>
      <c r="M22" s="58">
        <v>938</v>
      </c>
      <c r="N22" s="58">
        <v>962899.75580000004</v>
      </c>
      <c r="O22" s="58">
        <v>3731</v>
      </c>
      <c r="P22" s="58">
        <v>3591026.7670999998</v>
      </c>
      <c r="Q22" s="58">
        <v>244</v>
      </c>
      <c r="R22" s="58">
        <v>242023.32500000001</v>
      </c>
      <c r="S22" s="58">
        <v>2866</v>
      </c>
      <c r="T22" s="58">
        <v>567166.31709999999</v>
      </c>
      <c r="U22" s="58">
        <v>2448</v>
      </c>
      <c r="V22" s="58">
        <v>2494773.624975</v>
      </c>
      <c r="W22" s="17">
        <v>1231</v>
      </c>
      <c r="X22" s="17">
        <v>711237.35589999997</v>
      </c>
    </row>
    <row r="23" spans="1:24" s="18" customFormat="1" ht="18" customHeight="1">
      <c r="B23" s="13" t="s">
        <v>938</v>
      </c>
      <c r="C23" s="17">
        <v>32688</v>
      </c>
      <c r="D23" s="17">
        <v>19920379.1274</v>
      </c>
      <c r="E23" s="58">
        <v>12437</v>
      </c>
      <c r="F23" s="58">
        <v>4301321.1058999998</v>
      </c>
      <c r="G23" s="58">
        <v>14706</v>
      </c>
      <c r="H23" s="58">
        <v>5079793.6223999998</v>
      </c>
      <c r="I23" s="58">
        <v>84</v>
      </c>
      <c r="J23" s="58">
        <v>273934.43699999998</v>
      </c>
      <c r="K23" s="58">
        <v>389</v>
      </c>
      <c r="L23" s="58">
        <v>4026869.8410999998</v>
      </c>
      <c r="M23" s="58">
        <v>211</v>
      </c>
      <c r="N23" s="58">
        <v>242272.429</v>
      </c>
      <c r="O23" s="58">
        <v>3551</v>
      </c>
      <c r="P23" s="58">
        <v>5028070.3406999996</v>
      </c>
      <c r="Q23" s="58">
        <v>94</v>
      </c>
      <c r="R23" s="58">
        <v>223485.535</v>
      </c>
      <c r="S23" s="58">
        <v>594</v>
      </c>
      <c r="T23" s="58">
        <v>101007.69</v>
      </c>
      <c r="U23" s="58">
        <v>531</v>
      </c>
      <c r="V23" s="58">
        <v>586236.88879999996</v>
      </c>
      <c r="W23" s="17">
        <v>91</v>
      </c>
      <c r="X23" s="17">
        <v>57387.237500000003</v>
      </c>
    </row>
    <row r="24" spans="1:24" ht="18" customHeight="1">
      <c r="A24" s="49"/>
      <c r="B24" s="48"/>
      <c r="C24" s="41"/>
      <c r="D24" s="1"/>
      <c r="E24" s="41"/>
      <c r="F24" s="1"/>
      <c r="G24" s="41"/>
      <c r="H24" s="1"/>
      <c r="I24" s="41"/>
      <c r="J24" s="1"/>
      <c r="K24" s="41"/>
      <c r="L24" s="1"/>
      <c r="M24" s="41"/>
      <c r="N24" s="1"/>
      <c r="O24" s="41"/>
      <c r="P24" s="1"/>
      <c r="Q24" s="41"/>
      <c r="R24" s="1"/>
      <c r="S24" s="41"/>
      <c r="T24" s="1"/>
      <c r="U24" s="41"/>
      <c r="V24" s="1"/>
      <c r="W24" s="41"/>
      <c r="X24" s="1"/>
    </row>
    <row r="25" spans="1:24" ht="18" customHeight="1">
      <c r="A25" s="49"/>
      <c r="B25" s="48"/>
      <c r="C25" s="1"/>
      <c r="D25" s="41"/>
      <c r="E25" s="1"/>
      <c r="F25" s="41"/>
      <c r="G25" s="1"/>
      <c r="H25" s="41"/>
      <c r="I25" s="1"/>
      <c r="J25" s="41"/>
      <c r="K25" s="1"/>
      <c r="L25" s="41"/>
      <c r="M25" s="1"/>
      <c r="N25" s="41"/>
      <c r="O25" s="1"/>
      <c r="P25" s="41"/>
      <c r="Q25" s="1"/>
      <c r="R25" s="41"/>
      <c r="S25" s="1"/>
      <c r="T25" s="41"/>
      <c r="U25" s="1"/>
      <c r="V25" s="41"/>
      <c r="W25" s="1"/>
      <c r="X25" s="41"/>
    </row>
    <row r="26" spans="1:24" ht="18" customHeight="1">
      <c r="F26" s="41"/>
      <c r="H26" s="41"/>
      <c r="J26" s="41"/>
      <c r="L26" s="41"/>
    </row>
    <row r="27" spans="1:24" ht="18" customHeight="1">
      <c r="F27" s="41"/>
      <c r="H27" s="41"/>
      <c r="J27" s="41"/>
      <c r="L27" s="41"/>
    </row>
    <row r="28" spans="1:24" ht="18" customHeight="1">
      <c r="F28" s="41"/>
      <c r="H28" s="41"/>
      <c r="J28" s="41"/>
      <c r="L28" s="41"/>
    </row>
  </sheetData>
  <mergeCells count="12">
    <mergeCell ref="W4:X4"/>
    <mergeCell ref="B4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phoneticPr fontId="7" type="noConversion"/>
  <pageMargins left="0.7" right="0.7" top="0.75" bottom="0.75" header="0.3" footer="0.3"/>
  <pageSetup paperSize="9" scale="4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95"/>
  <sheetViews>
    <sheetView view="pageBreakPreview" zoomScaleNormal="85" zoomScaleSheetLayoutView="100" workbookViewId="0">
      <selection activeCell="B1" sqref="B1"/>
    </sheetView>
  </sheetViews>
  <sheetFormatPr defaultRowHeight="18" customHeight="1"/>
  <cols>
    <col min="1" max="1" width="2.625" style="18" customWidth="1"/>
    <col min="2" max="2" width="6.625" style="18" customWidth="1"/>
    <col min="3" max="3" width="14.625" style="18" customWidth="1"/>
    <col min="4" max="4" width="40.625" style="18" customWidth="1"/>
    <col min="5" max="5" width="20.625" style="86" customWidth="1"/>
    <col min="6" max="6" width="9" style="18"/>
    <col min="7" max="7" width="80.625" style="18" customWidth="1"/>
    <col min="8" max="8" width="9" style="18"/>
    <col min="9" max="9" width="49" style="18" bestFit="1" customWidth="1"/>
    <col min="10" max="10" width="22.625" style="18" bestFit="1" customWidth="1"/>
    <col min="11" max="16384" width="9" style="18"/>
  </cols>
  <sheetData>
    <row r="1" spans="1:7" ht="30" customHeight="1">
      <c r="A1" s="7" t="str">
        <f>목차!B7</f>
        <v>4. 2023년 고층 건축물 현황</v>
      </c>
    </row>
    <row r="3" spans="1:7" ht="18" customHeight="1">
      <c r="B3" s="24" t="s">
        <v>877</v>
      </c>
    </row>
    <row r="4" spans="1:7" ht="18" customHeight="1">
      <c r="B4" s="78" t="s">
        <v>846</v>
      </c>
      <c r="C4" s="78" t="s">
        <v>847</v>
      </c>
      <c r="D4" s="78" t="s">
        <v>848</v>
      </c>
      <c r="E4" s="79" t="s">
        <v>849</v>
      </c>
      <c r="F4" s="78" t="s">
        <v>850</v>
      </c>
      <c r="G4" s="78" t="s">
        <v>851</v>
      </c>
    </row>
    <row r="5" spans="1:7" ht="18" customHeight="1">
      <c r="B5" s="66">
        <v>1</v>
      </c>
      <c r="C5" s="66" t="s">
        <v>1029</v>
      </c>
      <c r="D5" s="72" t="s">
        <v>1033</v>
      </c>
      <c r="E5" s="88" t="s">
        <v>1034</v>
      </c>
      <c r="F5" s="73">
        <v>123</v>
      </c>
      <c r="G5" s="72" t="s">
        <v>722</v>
      </c>
    </row>
    <row r="6" spans="1:7" ht="18" customHeight="1">
      <c r="B6" s="66">
        <v>2</v>
      </c>
      <c r="C6" s="66" t="s">
        <v>1029</v>
      </c>
      <c r="D6" s="72" t="s">
        <v>1042</v>
      </c>
      <c r="E6" s="88" t="s">
        <v>1043</v>
      </c>
      <c r="F6" s="73">
        <v>101</v>
      </c>
      <c r="G6" s="72" t="s">
        <v>1292</v>
      </c>
    </row>
    <row r="7" spans="1:7" ht="18" customHeight="1">
      <c r="B7" s="66">
        <v>3</v>
      </c>
      <c r="C7" s="66" t="s">
        <v>1029</v>
      </c>
      <c r="D7" s="72" t="s">
        <v>1042</v>
      </c>
      <c r="E7" s="88" t="s">
        <v>1044</v>
      </c>
      <c r="F7" s="73">
        <v>85</v>
      </c>
      <c r="G7" s="72" t="s">
        <v>1292</v>
      </c>
    </row>
    <row r="8" spans="1:7" ht="18" customHeight="1">
      <c r="B8" s="66">
        <v>4</v>
      </c>
      <c r="C8" s="66" t="s">
        <v>1029</v>
      </c>
      <c r="D8" s="72" t="s">
        <v>1042</v>
      </c>
      <c r="E8" s="88" t="s">
        <v>1045</v>
      </c>
      <c r="F8" s="73">
        <v>85</v>
      </c>
      <c r="G8" s="72" t="s">
        <v>1292</v>
      </c>
    </row>
    <row r="9" spans="1:7" ht="18" customHeight="1">
      <c r="B9" s="66">
        <v>5</v>
      </c>
      <c r="C9" s="66" t="s">
        <v>1029</v>
      </c>
      <c r="D9" s="72" t="s">
        <v>84</v>
      </c>
      <c r="E9" s="88" t="s">
        <v>85</v>
      </c>
      <c r="F9" s="73">
        <v>80</v>
      </c>
      <c r="G9" s="72" t="s">
        <v>83</v>
      </c>
    </row>
    <row r="10" spans="1:7" ht="18" customHeight="1">
      <c r="B10" s="66">
        <v>6</v>
      </c>
      <c r="C10" s="66" t="s">
        <v>1029</v>
      </c>
      <c r="D10" s="72" t="s">
        <v>84</v>
      </c>
      <c r="E10" s="88" t="s">
        <v>87</v>
      </c>
      <c r="F10" s="73">
        <v>75</v>
      </c>
      <c r="G10" s="72" t="s">
        <v>83</v>
      </c>
    </row>
    <row r="11" spans="1:7" ht="18" customHeight="1">
      <c r="B11" s="66">
        <v>7</v>
      </c>
      <c r="C11" s="66" t="s">
        <v>1029</v>
      </c>
      <c r="D11" s="74" t="s">
        <v>90</v>
      </c>
      <c r="E11" s="89" t="s">
        <v>91</v>
      </c>
      <c r="F11" s="75">
        <v>72</v>
      </c>
      <c r="G11" s="76" t="s">
        <v>89</v>
      </c>
    </row>
    <row r="12" spans="1:7" ht="18" customHeight="1">
      <c r="B12" s="66">
        <v>8</v>
      </c>
      <c r="C12" s="66" t="s">
        <v>1029</v>
      </c>
      <c r="D12" s="74" t="s">
        <v>84</v>
      </c>
      <c r="E12" s="90" t="s">
        <v>93</v>
      </c>
      <c r="F12" s="75">
        <v>70</v>
      </c>
      <c r="G12" s="74" t="s">
        <v>83</v>
      </c>
    </row>
    <row r="13" spans="1:7" ht="18" customHeight="1">
      <c r="B13" s="66">
        <v>9</v>
      </c>
      <c r="C13" s="66" t="s">
        <v>1029</v>
      </c>
      <c r="D13" s="74" t="s">
        <v>1316</v>
      </c>
      <c r="E13" s="90" t="s">
        <v>1036</v>
      </c>
      <c r="F13" s="75">
        <v>69</v>
      </c>
      <c r="G13" s="74" t="s">
        <v>1301</v>
      </c>
    </row>
    <row r="14" spans="1:7" ht="18" customHeight="1">
      <c r="B14" s="66">
        <v>10</v>
      </c>
      <c r="C14" s="66" t="s">
        <v>1029</v>
      </c>
      <c r="D14" s="74" t="s">
        <v>1293</v>
      </c>
      <c r="E14" s="90" t="s">
        <v>1294</v>
      </c>
      <c r="F14" s="75">
        <v>69</v>
      </c>
      <c r="G14" s="74" t="s">
        <v>1295</v>
      </c>
    </row>
    <row r="15" spans="1:7" ht="18" customHeight="1">
      <c r="B15" s="66">
        <v>11</v>
      </c>
      <c r="C15" s="66" t="s">
        <v>1029</v>
      </c>
      <c r="D15" s="74" t="s">
        <v>1305</v>
      </c>
      <c r="E15" s="90" t="s">
        <v>31</v>
      </c>
      <c r="F15" s="75">
        <v>69</v>
      </c>
      <c r="G15" s="74" t="s">
        <v>1296</v>
      </c>
    </row>
    <row r="16" spans="1:7" ht="18" customHeight="1">
      <c r="B16" s="66">
        <v>12</v>
      </c>
      <c r="C16" s="66" t="s">
        <v>1029</v>
      </c>
      <c r="D16" s="74" t="s">
        <v>1305</v>
      </c>
      <c r="E16" s="90" t="s">
        <v>36</v>
      </c>
      <c r="F16" s="75">
        <v>69</v>
      </c>
      <c r="G16" s="74" t="s">
        <v>1296</v>
      </c>
    </row>
    <row r="17" spans="1:7" ht="18" customHeight="1">
      <c r="B17" s="66">
        <v>13</v>
      </c>
      <c r="C17" s="66" t="s">
        <v>1029</v>
      </c>
      <c r="D17" s="74" t="s">
        <v>1305</v>
      </c>
      <c r="E17" s="90" t="s">
        <v>1038</v>
      </c>
      <c r="F17" s="75">
        <v>69</v>
      </c>
      <c r="G17" s="74" t="s">
        <v>1296</v>
      </c>
    </row>
    <row r="18" spans="1:7" ht="18" customHeight="1">
      <c r="B18" s="66">
        <v>14</v>
      </c>
      <c r="C18" s="66" t="s">
        <v>1029</v>
      </c>
      <c r="D18" s="74" t="s">
        <v>1305</v>
      </c>
      <c r="E18" s="90" t="s">
        <v>38</v>
      </c>
      <c r="F18" s="75">
        <v>69</v>
      </c>
      <c r="G18" s="74" t="s">
        <v>1296</v>
      </c>
    </row>
    <row r="19" spans="1:7" ht="18" customHeight="1">
      <c r="B19" s="66">
        <v>15</v>
      </c>
      <c r="C19" s="66" t="s">
        <v>1029</v>
      </c>
      <c r="D19" s="74" t="s">
        <v>24</v>
      </c>
      <c r="E19" s="90" t="s">
        <v>25</v>
      </c>
      <c r="F19" s="75">
        <v>69</v>
      </c>
      <c r="G19" s="74" t="s">
        <v>23</v>
      </c>
    </row>
    <row r="20" spans="1:7" ht="18" customHeight="1">
      <c r="B20" s="66">
        <v>16</v>
      </c>
      <c r="C20" s="66" t="s">
        <v>1029</v>
      </c>
      <c r="D20" s="74" t="s">
        <v>28</v>
      </c>
      <c r="E20" s="90"/>
      <c r="F20" s="75">
        <v>69</v>
      </c>
      <c r="G20" s="74" t="s">
        <v>27</v>
      </c>
    </row>
    <row r="21" spans="1:7" ht="18" customHeight="1">
      <c r="B21" s="66">
        <v>17</v>
      </c>
      <c r="C21" s="66" t="s">
        <v>1029</v>
      </c>
      <c r="D21" s="74"/>
      <c r="E21" s="90" t="s">
        <v>1035</v>
      </c>
      <c r="F21" s="75">
        <v>68</v>
      </c>
      <c r="G21" s="74" t="s">
        <v>1297</v>
      </c>
    </row>
    <row r="22" spans="1:7" ht="18" customHeight="1">
      <c r="B22" s="66">
        <v>18</v>
      </c>
      <c r="C22" s="66" t="s">
        <v>1029</v>
      </c>
      <c r="D22" s="77" t="s">
        <v>853</v>
      </c>
      <c r="E22" s="90"/>
      <c r="F22" s="75">
        <v>66</v>
      </c>
      <c r="G22" s="76" t="s">
        <v>1298</v>
      </c>
    </row>
    <row r="23" spans="1:7" ht="18" customHeight="1">
      <c r="B23" s="66">
        <v>19</v>
      </c>
      <c r="C23" s="66" t="s">
        <v>1029</v>
      </c>
      <c r="D23" s="74" t="s">
        <v>478</v>
      </c>
      <c r="E23" s="90" t="s">
        <v>93</v>
      </c>
      <c r="F23" s="75">
        <v>66</v>
      </c>
      <c r="G23" s="74" t="s">
        <v>477</v>
      </c>
    </row>
    <row r="24" spans="1:7" ht="18" customHeight="1">
      <c r="B24" s="66">
        <v>20</v>
      </c>
      <c r="C24" s="66" t="s">
        <v>1029</v>
      </c>
      <c r="D24" s="74" t="s">
        <v>90</v>
      </c>
      <c r="E24" s="90" t="s">
        <v>95</v>
      </c>
      <c r="F24" s="75">
        <v>66</v>
      </c>
      <c r="G24" s="74" t="s">
        <v>89</v>
      </c>
    </row>
    <row r="25" spans="1:7" ht="18" customHeight="1">
      <c r="A25" s="20"/>
      <c r="B25" s="21"/>
      <c r="C25" s="21"/>
      <c r="D25" s="22"/>
      <c r="E25" s="91"/>
      <c r="F25" s="23"/>
      <c r="G25" s="22"/>
    </row>
    <row r="26" spans="1:7" ht="18" customHeight="1">
      <c r="A26" s="20"/>
      <c r="B26" s="24" t="s">
        <v>1324</v>
      </c>
    </row>
    <row r="27" spans="1:7" ht="18" customHeight="1">
      <c r="A27" s="20"/>
      <c r="B27" s="78" t="s">
        <v>846</v>
      </c>
      <c r="C27" s="78" t="s">
        <v>847</v>
      </c>
      <c r="D27" s="78" t="s">
        <v>848</v>
      </c>
      <c r="E27" s="87" t="s">
        <v>849</v>
      </c>
      <c r="F27" s="78" t="s">
        <v>850</v>
      </c>
      <c r="G27" s="78" t="s">
        <v>851</v>
      </c>
    </row>
    <row r="28" spans="1:7" ht="18" customHeight="1">
      <c r="A28" s="20"/>
      <c r="B28" s="66">
        <v>1</v>
      </c>
      <c r="C28" s="80" t="s">
        <v>845</v>
      </c>
      <c r="D28" s="81" t="s">
        <v>1299</v>
      </c>
      <c r="E28" s="92" t="s">
        <v>1300</v>
      </c>
      <c r="F28" s="80" t="s">
        <v>1325</v>
      </c>
      <c r="G28" s="81" t="s">
        <v>1493</v>
      </c>
    </row>
    <row r="29" spans="1:7" ht="18" customHeight="1">
      <c r="A29" s="20"/>
      <c r="B29" s="66">
        <v>2</v>
      </c>
      <c r="C29" s="80" t="s">
        <v>845</v>
      </c>
      <c r="D29" s="81" t="s">
        <v>1317</v>
      </c>
      <c r="E29" s="92" t="s">
        <v>1318</v>
      </c>
      <c r="F29" s="80" t="s">
        <v>1494</v>
      </c>
      <c r="G29" s="81" t="s">
        <v>1495</v>
      </c>
    </row>
    <row r="30" spans="1:7" ht="18" customHeight="1">
      <c r="A30" s="20"/>
      <c r="B30" s="66">
        <v>3</v>
      </c>
      <c r="C30" s="80" t="s">
        <v>845</v>
      </c>
      <c r="D30" s="81" t="s">
        <v>1319</v>
      </c>
      <c r="E30" s="92" t="s">
        <v>1320</v>
      </c>
      <c r="F30" s="80" t="s">
        <v>1351</v>
      </c>
      <c r="G30" s="81" t="s">
        <v>1496</v>
      </c>
    </row>
    <row r="31" spans="1:7" ht="18" customHeight="1">
      <c r="A31" s="20"/>
      <c r="B31" s="66">
        <v>4</v>
      </c>
      <c r="C31" s="80" t="s">
        <v>844</v>
      </c>
      <c r="D31" s="81" t="s">
        <v>1497</v>
      </c>
      <c r="E31" s="92" t="s">
        <v>1498</v>
      </c>
      <c r="F31" s="80" t="s">
        <v>1352</v>
      </c>
      <c r="G31" s="81" t="s">
        <v>1499</v>
      </c>
    </row>
    <row r="32" spans="1:7" ht="18" customHeight="1">
      <c r="A32" s="20"/>
      <c r="B32" s="66">
        <v>5</v>
      </c>
      <c r="C32" s="80" t="s">
        <v>844</v>
      </c>
      <c r="D32" s="81" t="s">
        <v>1497</v>
      </c>
      <c r="E32" s="92" t="s">
        <v>1498</v>
      </c>
      <c r="F32" s="80" t="s">
        <v>1352</v>
      </c>
      <c r="G32" s="81" t="s">
        <v>1499</v>
      </c>
    </row>
    <row r="33" spans="1:7" ht="18" customHeight="1">
      <c r="A33" s="20"/>
      <c r="B33" s="66">
        <v>6</v>
      </c>
      <c r="C33" s="80" t="s">
        <v>844</v>
      </c>
      <c r="D33" s="81" t="s">
        <v>1497</v>
      </c>
      <c r="E33" s="92" t="s">
        <v>1500</v>
      </c>
      <c r="F33" s="80" t="s">
        <v>1369</v>
      </c>
      <c r="G33" s="81" t="s">
        <v>1499</v>
      </c>
    </row>
    <row r="34" spans="1:7" ht="18" customHeight="1">
      <c r="A34" s="20"/>
      <c r="B34" s="66">
        <v>7</v>
      </c>
      <c r="C34" s="80" t="s">
        <v>844</v>
      </c>
      <c r="D34" s="81" t="s">
        <v>1497</v>
      </c>
      <c r="E34" s="92" t="s">
        <v>1500</v>
      </c>
      <c r="F34" s="80" t="s">
        <v>1369</v>
      </c>
      <c r="G34" s="81" t="s">
        <v>1499</v>
      </c>
    </row>
    <row r="35" spans="1:7" ht="18" customHeight="1">
      <c r="A35" s="20"/>
      <c r="B35" s="66">
        <v>8</v>
      </c>
      <c r="C35" s="80" t="s">
        <v>845</v>
      </c>
      <c r="D35" s="81" t="s">
        <v>1306</v>
      </c>
      <c r="E35" s="92" t="s">
        <v>730</v>
      </c>
      <c r="F35" s="80" t="s">
        <v>1376</v>
      </c>
      <c r="G35" s="81" t="s">
        <v>1501</v>
      </c>
    </row>
    <row r="36" spans="1:7" ht="18" customHeight="1">
      <c r="A36" s="20"/>
      <c r="B36" s="66">
        <v>9</v>
      </c>
      <c r="C36" s="80" t="s">
        <v>845</v>
      </c>
      <c r="D36" s="81" t="s">
        <v>1502</v>
      </c>
      <c r="E36" s="92" t="s">
        <v>730</v>
      </c>
      <c r="F36" s="80" t="s">
        <v>1385</v>
      </c>
      <c r="G36" s="81" t="s">
        <v>1503</v>
      </c>
    </row>
    <row r="37" spans="1:7" ht="18" customHeight="1">
      <c r="A37" s="20"/>
      <c r="B37" s="66">
        <v>10</v>
      </c>
      <c r="C37" s="80" t="s">
        <v>845</v>
      </c>
      <c r="D37" s="81" t="s">
        <v>1504</v>
      </c>
      <c r="E37" s="92" t="s">
        <v>1504</v>
      </c>
      <c r="F37" s="80" t="s">
        <v>1406</v>
      </c>
      <c r="G37" s="81" t="s">
        <v>1505</v>
      </c>
    </row>
    <row r="38" spans="1:7" ht="18" customHeight="1">
      <c r="A38" s="20"/>
      <c r="B38" s="66">
        <v>11</v>
      </c>
      <c r="C38" s="80" t="s">
        <v>845</v>
      </c>
      <c r="D38" s="81" t="s">
        <v>1504</v>
      </c>
      <c r="E38" s="92" t="s">
        <v>1504</v>
      </c>
      <c r="F38" s="80" t="s">
        <v>1406</v>
      </c>
      <c r="G38" s="81" t="s">
        <v>1505</v>
      </c>
    </row>
    <row r="39" spans="1:7" ht="18" customHeight="1">
      <c r="A39" s="20"/>
      <c r="B39" s="66">
        <v>12</v>
      </c>
      <c r="C39" s="80" t="s">
        <v>845</v>
      </c>
      <c r="D39" s="81" t="s">
        <v>1504</v>
      </c>
      <c r="E39" s="92" t="s">
        <v>1504</v>
      </c>
      <c r="F39" s="80" t="s">
        <v>1406</v>
      </c>
      <c r="G39" s="81" t="s">
        <v>1505</v>
      </c>
    </row>
    <row r="40" spans="1:7" ht="18" customHeight="1">
      <c r="A40" s="20"/>
      <c r="B40" s="66">
        <v>13</v>
      </c>
      <c r="C40" s="80" t="s">
        <v>845</v>
      </c>
      <c r="D40" s="81" t="s">
        <v>751</v>
      </c>
      <c r="E40" s="92" t="s">
        <v>760</v>
      </c>
      <c r="F40" s="80" t="s">
        <v>1413</v>
      </c>
      <c r="G40" s="81" t="s">
        <v>1506</v>
      </c>
    </row>
    <row r="41" spans="1:7" ht="18" customHeight="1">
      <c r="A41" s="20"/>
      <c r="B41" s="45"/>
      <c r="C41" s="46"/>
      <c r="D41" s="47"/>
      <c r="E41" s="93"/>
      <c r="F41" s="46"/>
      <c r="G41" s="47"/>
    </row>
    <row r="42" spans="1:7" ht="18" customHeight="1">
      <c r="B42" s="24" t="s">
        <v>907</v>
      </c>
    </row>
    <row r="43" spans="1:7" ht="18" customHeight="1">
      <c r="B43" s="117" t="s">
        <v>908</v>
      </c>
      <c r="C43" s="117"/>
      <c r="D43" s="78" t="s">
        <v>909</v>
      </c>
      <c r="E43" s="87" t="s">
        <v>849</v>
      </c>
      <c r="F43" s="78" t="s">
        <v>910</v>
      </c>
      <c r="G43" s="78" t="s">
        <v>911</v>
      </c>
    </row>
    <row r="44" spans="1:7" ht="18" customHeight="1">
      <c r="B44" s="114" t="s">
        <v>939</v>
      </c>
      <c r="C44" s="114"/>
      <c r="D44" s="72" t="s">
        <v>1033</v>
      </c>
      <c r="E44" s="88" t="s">
        <v>1034</v>
      </c>
      <c r="F44" s="73" t="s">
        <v>1342</v>
      </c>
      <c r="G44" s="72" t="s">
        <v>1326</v>
      </c>
    </row>
    <row r="45" spans="1:7" ht="18" customHeight="1">
      <c r="B45" s="114" t="s">
        <v>940</v>
      </c>
      <c r="C45" s="114"/>
      <c r="D45" s="82" t="s">
        <v>1327</v>
      </c>
      <c r="E45" s="94" t="s">
        <v>1043</v>
      </c>
      <c r="F45" s="66" t="s">
        <v>1344</v>
      </c>
      <c r="G45" s="82" t="s">
        <v>1328</v>
      </c>
    </row>
    <row r="46" spans="1:7" ht="18" customHeight="1">
      <c r="B46" s="114" t="s">
        <v>941</v>
      </c>
      <c r="C46" s="114"/>
      <c r="D46" s="82" t="s">
        <v>1046</v>
      </c>
      <c r="E46" s="94" t="s">
        <v>140</v>
      </c>
      <c r="F46" s="66" t="s">
        <v>1376</v>
      </c>
      <c r="G46" s="82" t="s">
        <v>1465</v>
      </c>
    </row>
    <row r="47" spans="1:7" ht="18" customHeight="1">
      <c r="B47" s="118" t="s">
        <v>942</v>
      </c>
      <c r="C47" s="118"/>
      <c r="D47" s="83"/>
      <c r="E47" s="95" t="s">
        <v>1035</v>
      </c>
      <c r="F47" s="84" t="s">
        <v>1358</v>
      </c>
      <c r="G47" s="83" t="s">
        <v>1330</v>
      </c>
    </row>
    <row r="48" spans="1:7" ht="18" customHeight="1">
      <c r="B48" s="114" t="s">
        <v>943</v>
      </c>
      <c r="C48" s="114"/>
      <c r="D48" s="82" t="s">
        <v>1302</v>
      </c>
      <c r="E48" s="94" t="s">
        <v>1047</v>
      </c>
      <c r="F48" s="66" t="s">
        <v>1466</v>
      </c>
      <c r="G48" s="82" t="s">
        <v>1331</v>
      </c>
    </row>
    <row r="49" spans="2:7" ht="18" customHeight="1">
      <c r="B49" s="114" t="s">
        <v>944</v>
      </c>
      <c r="C49" s="114"/>
      <c r="D49" s="82" t="s">
        <v>854</v>
      </c>
      <c r="E49" s="94" t="s">
        <v>140</v>
      </c>
      <c r="F49" s="66" t="s">
        <v>1413</v>
      </c>
      <c r="G49" s="82" t="s">
        <v>1332</v>
      </c>
    </row>
    <row r="50" spans="2:7" ht="18" customHeight="1">
      <c r="B50" s="114" t="s">
        <v>945</v>
      </c>
      <c r="C50" s="114"/>
      <c r="D50" s="82" t="s">
        <v>889</v>
      </c>
      <c r="E50" s="94" t="s">
        <v>85</v>
      </c>
      <c r="F50" s="66" t="s">
        <v>1396</v>
      </c>
      <c r="G50" s="82" t="s">
        <v>1333</v>
      </c>
    </row>
    <row r="51" spans="2:7" ht="18" customHeight="1">
      <c r="B51" s="114" t="s">
        <v>946</v>
      </c>
      <c r="C51" s="114"/>
      <c r="D51" s="82" t="s">
        <v>1308</v>
      </c>
      <c r="E51" s="94" t="s">
        <v>1309</v>
      </c>
      <c r="F51" s="66" t="s">
        <v>1467</v>
      </c>
      <c r="G51" s="82" t="s">
        <v>1468</v>
      </c>
    </row>
    <row r="52" spans="2:7" ht="18" customHeight="1">
      <c r="B52" s="114" t="s">
        <v>929</v>
      </c>
      <c r="C52" s="114"/>
      <c r="D52" s="82" t="s">
        <v>853</v>
      </c>
      <c r="E52" s="94"/>
      <c r="F52" s="66" t="s">
        <v>1360</v>
      </c>
      <c r="G52" s="82" t="s">
        <v>1334</v>
      </c>
    </row>
    <row r="53" spans="2:7" ht="18" customHeight="1">
      <c r="B53" s="114" t="s">
        <v>1539</v>
      </c>
      <c r="C53" s="114"/>
      <c r="D53" s="82" t="s">
        <v>1321</v>
      </c>
      <c r="E53" s="94" t="s">
        <v>1321</v>
      </c>
      <c r="F53" s="66" t="s">
        <v>1467</v>
      </c>
      <c r="G53" s="82" t="s">
        <v>1469</v>
      </c>
    </row>
    <row r="54" spans="2:7" ht="18" customHeight="1">
      <c r="B54" s="114" t="s">
        <v>947</v>
      </c>
      <c r="C54" s="114"/>
      <c r="D54" s="82" t="s">
        <v>1303</v>
      </c>
      <c r="E54" s="94" t="s">
        <v>85</v>
      </c>
      <c r="F54" s="66" t="s">
        <v>1467</v>
      </c>
      <c r="G54" s="82" t="s">
        <v>1335</v>
      </c>
    </row>
    <row r="55" spans="2:7" ht="18" customHeight="1">
      <c r="B55" s="114" t="s">
        <v>948</v>
      </c>
      <c r="C55" s="114"/>
      <c r="D55" s="82" t="s">
        <v>478</v>
      </c>
      <c r="E55" s="94" t="s">
        <v>93</v>
      </c>
      <c r="F55" s="66" t="s">
        <v>1360</v>
      </c>
      <c r="G55" s="82" t="s">
        <v>1336</v>
      </c>
    </row>
    <row r="56" spans="2:7" ht="18" customHeight="1">
      <c r="B56" s="114" t="s">
        <v>949</v>
      </c>
      <c r="C56" s="114"/>
      <c r="D56" s="82" t="s">
        <v>1464</v>
      </c>
      <c r="E56" s="94" t="s">
        <v>93</v>
      </c>
      <c r="F56" s="66" t="s">
        <v>1470</v>
      </c>
      <c r="G56" s="82" t="s">
        <v>1471</v>
      </c>
    </row>
    <row r="57" spans="2:7" ht="18" customHeight="1">
      <c r="B57" s="114" t="s">
        <v>950</v>
      </c>
      <c r="C57" s="114"/>
      <c r="D57" s="76" t="s">
        <v>1322</v>
      </c>
      <c r="E57" s="96" t="s">
        <v>110</v>
      </c>
      <c r="F57" s="66" t="s">
        <v>1467</v>
      </c>
      <c r="G57" s="82" t="s">
        <v>1337</v>
      </c>
    </row>
    <row r="58" spans="2:7" ht="18" customHeight="1">
      <c r="B58" s="114" t="s">
        <v>951</v>
      </c>
      <c r="C58" s="114"/>
      <c r="D58" s="82" t="s">
        <v>593</v>
      </c>
      <c r="E58" s="94" t="s">
        <v>125</v>
      </c>
      <c r="F58" s="66" t="s">
        <v>1466</v>
      </c>
      <c r="G58" s="82" t="s">
        <v>1338</v>
      </c>
    </row>
    <row r="59" spans="2:7" ht="18" customHeight="1">
      <c r="B59" s="114" t="s">
        <v>952</v>
      </c>
      <c r="C59" s="114"/>
      <c r="D59" s="82" t="s">
        <v>1017</v>
      </c>
      <c r="E59" s="94" t="s">
        <v>906</v>
      </c>
      <c r="F59" s="66" t="s">
        <v>1391</v>
      </c>
      <c r="G59" s="82" t="s">
        <v>1339</v>
      </c>
    </row>
    <row r="60" spans="2:7" ht="18" customHeight="1">
      <c r="B60" s="114" t="s">
        <v>953</v>
      </c>
      <c r="C60" s="114"/>
      <c r="D60" s="82" t="s">
        <v>1304</v>
      </c>
      <c r="E60" s="94" t="s">
        <v>1304</v>
      </c>
      <c r="F60" s="66" t="s">
        <v>1472</v>
      </c>
      <c r="G60" s="82" t="s">
        <v>1340</v>
      </c>
    </row>
    <row r="62" spans="2:7" ht="18" customHeight="1">
      <c r="B62" s="24" t="s">
        <v>912</v>
      </c>
    </row>
    <row r="63" spans="2:7" ht="18" customHeight="1">
      <c r="B63" s="115" t="s">
        <v>15</v>
      </c>
      <c r="C63" s="116"/>
      <c r="D63" s="85" t="s">
        <v>848</v>
      </c>
      <c r="E63" s="87" t="s">
        <v>913</v>
      </c>
      <c r="F63" s="78" t="s">
        <v>850</v>
      </c>
      <c r="G63" s="78" t="s">
        <v>914</v>
      </c>
    </row>
    <row r="64" spans="2:7" ht="18" customHeight="1">
      <c r="B64" s="114" t="s">
        <v>1482</v>
      </c>
      <c r="C64" s="114"/>
      <c r="D64" s="82" t="s">
        <v>1033</v>
      </c>
      <c r="E64" s="94" t="s">
        <v>1034</v>
      </c>
      <c r="F64" s="66" t="s">
        <v>1342</v>
      </c>
      <c r="G64" s="82" t="s">
        <v>1326</v>
      </c>
    </row>
    <row r="65" spans="2:12" ht="18" customHeight="1">
      <c r="B65" s="114" t="s">
        <v>1483</v>
      </c>
      <c r="C65" s="114"/>
      <c r="D65" s="82" t="s">
        <v>1327</v>
      </c>
      <c r="E65" s="94" t="s">
        <v>1043</v>
      </c>
      <c r="F65" s="66" t="s">
        <v>1344</v>
      </c>
      <c r="G65" s="82" t="s">
        <v>1328</v>
      </c>
    </row>
    <row r="66" spans="2:12" ht="18" customHeight="1">
      <c r="B66" s="114" t="s">
        <v>1483</v>
      </c>
      <c r="C66" s="114"/>
      <c r="D66" s="82" t="s">
        <v>1042</v>
      </c>
      <c r="E66" s="94" t="s">
        <v>1044</v>
      </c>
      <c r="F66" s="66" t="s">
        <v>1345</v>
      </c>
      <c r="G66" s="82" t="s">
        <v>1328</v>
      </c>
    </row>
    <row r="67" spans="2:12" ht="18" customHeight="1">
      <c r="B67" s="114" t="s">
        <v>1483</v>
      </c>
      <c r="C67" s="114"/>
      <c r="D67" s="82" t="s">
        <v>1042</v>
      </c>
      <c r="E67" s="94" t="s">
        <v>1045</v>
      </c>
      <c r="F67" s="66" t="s">
        <v>1345</v>
      </c>
      <c r="G67" s="82" t="s">
        <v>1328</v>
      </c>
    </row>
    <row r="68" spans="2:12" ht="18" customHeight="1">
      <c r="B68" s="114" t="s">
        <v>2</v>
      </c>
      <c r="C68" s="114"/>
      <c r="D68" s="82" t="s">
        <v>84</v>
      </c>
      <c r="E68" s="94" t="s">
        <v>85</v>
      </c>
      <c r="F68" s="66" t="s">
        <v>1346</v>
      </c>
      <c r="G68" s="82" t="s">
        <v>1347</v>
      </c>
    </row>
    <row r="69" spans="2:12" ht="18" customHeight="1">
      <c r="B69" s="114" t="s">
        <v>2</v>
      </c>
      <c r="C69" s="114"/>
      <c r="D69" s="82" t="s">
        <v>84</v>
      </c>
      <c r="E69" s="94" t="s">
        <v>87</v>
      </c>
      <c r="F69" s="66" t="s">
        <v>1348</v>
      </c>
      <c r="G69" s="82" t="s">
        <v>1347</v>
      </c>
    </row>
    <row r="70" spans="2:12" ht="18" customHeight="1">
      <c r="B70" s="114" t="s">
        <v>2</v>
      </c>
      <c r="C70" s="114"/>
      <c r="D70" s="82" t="s">
        <v>90</v>
      </c>
      <c r="E70" s="94" t="s">
        <v>91</v>
      </c>
      <c r="F70" s="66" t="s">
        <v>1349</v>
      </c>
      <c r="G70" s="82" t="s">
        <v>1350</v>
      </c>
    </row>
    <row r="71" spans="2:12" ht="18" customHeight="1">
      <c r="B71" s="114" t="s">
        <v>2</v>
      </c>
      <c r="C71" s="114"/>
      <c r="D71" s="82" t="s">
        <v>84</v>
      </c>
      <c r="E71" s="94" t="s">
        <v>93</v>
      </c>
      <c r="F71" s="66" t="s">
        <v>1351</v>
      </c>
      <c r="G71" s="82" t="s">
        <v>1347</v>
      </c>
    </row>
    <row r="72" spans="2:12" ht="18" customHeight="1">
      <c r="B72" s="114" t="s">
        <v>1482</v>
      </c>
      <c r="C72" s="114"/>
      <c r="D72" s="82" t="s">
        <v>28</v>
      </c>
      <c r="E72" s="94"/>
      <c r="F72" s="66" t="s">
        <v>1352</v>
      </c>
      <c r="G72" s="82" t="s">
        <v>1356</v>
      </c>
      <c r="I72"/>
      <c r="J72"/>
      <c r="K72"/>
      <c r="L72"/>
    </row>
    <row r="73" spans="2:12" ht="18" customHeight="1">
      <c r="B73" s="114" t="s">
        <v>1483</v>
      </c>
      <c r="C73" s="114"/>
      <c r="D73" s="82" t="s">
        <v>1316</v>
      </c>
      <c r="E73" s="94" t="s">
        <v>1036</v>
      </c>
      <c r="F73" s="66" t="s">
        <v>1352</v>
      </c>
      <c r="G73" s="82" t="s">
        <v>1473</v>
      </c>
      <c r="I73"/>
      <c r="J73"/>
      <c r="K73"/>
      <c r="L73"/>
    </row>
    <row r="74" spans="2:12" ht="18" customHeight="1">
      <c r="B74" s="114" t="s">
        <v>1</v>
      </c>
      <c r="C74" s="114"/>
      <c r="D74" s="82" t="s">
        <v>1293</v>
      </c>
      <c r="E74" s="94" t="s">
        <v>1294</v>
      </c>
      <c r="F74" s="66" t="s">
        <v>1352</v>
      </c>
      <c r="G74" s="82" t="s">
        <v>1353</v>
      </c>
      <c r="I74"/>
      <c r="J74"/>
      <c r="K74"/>
      <c r="L74"/>
    </row>
    <row r="75" spans="2:12" ht="18" customHeight="1">
      <c r="B75" s="114" t="s">
        <v>2</v>
      </c>
      <c r="C75" s="114"/>
      <c r="D75" s="82" t="s">
        <v>1305</v>
      </c>
      <c r="E75" s="94" t="s">
        <v>31</v>
      </c>
      <c r="F75" s="66" t="s">
        <v>1352</v>
      </c>
      <c r="G75" s="82" t="s">
        <v>1354</v>
      </c>
      <c r="I75"/>
      <c r="J75"/>
      <c r="K75"/>
      <c r="L75"/>
    </row>
    <row r="76" spans="2:12" ht="18" customHeight="1">
      <c r="B76" s="114" t="s">
        <v>2</v>
      </c>
      <c r="C76" s="114"/>
      <c r="D76" s="82" t="s">
        <v>1305</v>
      </c>
      <c r="E76" s="94" t="s">
        <v>36</v>
      </c>
      <c r="F76" s="66" t="s">
        <v>1352</v>
      </c>
      <c r="G76" s="82" t="s">
        <v>1354</v>
      </c>
      <c r="I76"/>
      <c r="J76"/>
      <c r="K76"/>
      <c r="L76"/>
    </row>
    <row r="77" spans="2:12" ht="18" customHeight="1">
      <c r="B77" s="114" t="s">
        <v>2</v>
      </c>
      <c r="C77" s="114"/>
      <c r="D77" s="82" t="s">
        <v>1305</v>
      </c>
      <c r="E77" s="94" t="s">
        <v>1038</v>
      </c>
      <c r="F77" s="66" t="s">
        <v>1352</v>
      </c>
      <c r="G77" s="82" t="s">
        <v>1354</v>
      </c>
      <c r="I77"/>
      <c r="J77"/>
      <c r="K77"/>
      <c r="L77"/>
    </row>
    <row r="78" spans="2:12" ht="18" customHeight="1">
      <c r="B78" s="114" t="s">
        <v>2</v>
      </c>
      <c r="C78" s="114"/>
      <c r="D78" s="82" t="s">
        <v>1305</v>
      </c>
      <c r="E78" s="94" t="s">
        <v>38</v>
      </c>
      <c r="F78" s="66" t="s">
        <v>1352</v>
      </c>
      <c r="G78" s="82" t="s">
        <v>1354</v>
      </c>
      <c r="I78"/>
      <c r="J78"/>
      <c r="K78"/>
      <c r="L78"/>
    </row>
    <row r="79" spans="2:12" ht="18" customHeight="1">
      <c r="B79" s="114" t="s">
        <v>1</v>
      </c>
      <c r="C79" s="114"/>
      <c r="D79" s="82" t="s">
        <v>24</v>
      </c>
      <c r="E79" s="94" t="s">
        <v>25</v>
      </c>
      <c r="F79" s="66" t="s">
        <v>1352</v>
      </c>
      <c r="G79" s="82" t="s">
        <v>1355</v>
      </c>
      <c r="I79"/>
      <c r="J79"/>
      <c r="K79"/>
      <c r="L79"/>
    </row>
    <row r="80" spans="2:12" ht="18" customHeight="1">
      <c r="B80" s="114" t="s">
        <v>4</v>
      </c>
      <c r="C80" s="114"/>
      <c r="D80" s="82"/>
      <c r="E80" s="94" t="s">
        <v>1035</v>
      </c>
      <c r="F80" s="66" t="s">
        <v>1358</v>
      </c>
      <c r="G80" s="82" t="s">
        <v>1330</v>
      </c>
      <c r="I80"/>
      <c r="J80"/>
      <c r="K80"/>
      <c r="L80"/>
    </row>
    <row r="81" spans="2:12" ht="18" customHeight="1">
      <c r="B81" s="114" t="s">
        <v>8</v>
      </c>
      <c r="C81" s="114"/>
      <c r="D81" s="82" t="s">
        <v>853</v>
      </c>
      <c r="E81" s="94"/>
      <c r="F81" s="66" t="s">
        <v>1360</v>
      </c>
      <c r="G81" s="82" t="s">
        <v>1334</v>
      </c>
      <c r="I81"/>
      <c r="J81"/>
      <c r="K81"/>
      <c r="L81"/>
    </row>
    <row r="82" spans="2:12" ht="18" customHeight="1">
      <c r="B82" s="114" t="s">
        <v>10</v>
      </c>
      <c r="C82" s="114"/>
      <c r="D82" s="82" t="s">
        <v>478</v>
      </c>
      <c r="E82" s="94" t="s">
        <v>93</v>
      </c>
      <c r="F82" s="66" t="s">
        <v>1360</v>
      </c>
      <c r="G82" s="82" t="s">
        <v>1336</v>
      </c>
      <c r="I82"/>
      <c r="J82"/>
      <c r="K82"/>
      <c r="L82"/>
    </row>
    <row r="83" spans="2:12" ht="18" customHeight="1">
      <c r="B83" s="114" t="s">
        <v>1484</v>
      </c>
      <c r="C83" s="114"/>
      <c r="D83" s="82" t="s">
        <v>90</v>
      </c>
      <c r="E83" s="94" t="s">
        <v>95</v>
      </c>
      <c r="F83" s="66" t="s">
        <v>1360</v>
      </c>
      <c r="G83" s="82" t="s">
        <v>1350</v>
      </c>
      <c r="I83"/>
      <c r="J83"/>
      <c r="K83"/>
      <c r="L83"/>
    </row>
    <row r="84" spans="2:12" ht="18" customHeight="1">
      <c r="B84" s="114" t="s">
        <v>8</v>
      </c>
      <c r="C84" s="114"/>
      <c r="D84" s="82" t="s">
        <v>340</v>
      </c>
      <c r="E84" s="94" t="s">
        <v>42</v>
      </c>
      <c r="F84" s="66" t="s">
        <v>1360</v>
      </c>
      <c r="G84" s="82" t="s">
        <v>1363</v>
      </c>
      <c r="I84"/>
      <c r="J84"/>
      <c r="K84"/>
      <c r="L84"/>
    </row>
    <row r="85" spans="2:12" ht="18" customHeight="1">
      <c r="B85" s="114" t="s">
        <v>1</v>
      </c>
      <c r="C85" s="114"/>
      <c r="D85" s="82" t="s">
        <v>24</v>
      </c>
      <c r="E85" s="94" t="s">
        <v>31</v>
      </c>
      <c r="F85" s="66" t="s">
        <v>1360</v>
      </c>
      <c r="G85" s="82" t="s">
        <v>1364</v>
      </c>
      <c r="I85"/>
      <c r="J85"/>
      <c r="K85"/>
      <c r="L85"/>
    </row>
    <row r="86" spans="2:12" ht="18" customHeight="1">
      <c r="B86" s="114" t="s">
        <v>8</v>
      </c>
      <c r="C86" s="114"/>
      <c r="D86" s="82" t="s">
        <v>340</v>
      </c>
      <c r="E86" s="94" t="s">
        <v>341</v>
      </c>
      <c r="F86" s="66" t="s">
        <v>1360</v>
      </c>
      <c r="G86" s="82" t="s">
        <v>1362</v>
      </c>
      <c r="I86"/>
      <c r="J86"/>
      <c r="K86"/>
      <c r="L86"/>
    </row>
    <row r="87" spans="2:12" ht="18" customHeight="1">
      <c r="B87" s="114" t="s">
        <v>4</v>
      </c>
      <c r="C87" s="114"/>
      <c r="D87" s="82" t="s">
        <v>166</v>
      </c>
      <c r="E87" s="94" t="s">
        <v>169</v>
      </c>
      <c r="F87" s="66" t="s">
        <v>1365</v>
      </c>
      <c r="G87" s="82" t="s">
        <v>1366</v>
      </c>
      <c r="I87"/>
      <c r="J87"/>
      <c r="K87"/>
      <c r="L87"/>
    </row>
    <row r="88" spans="2:12" ht="18" customHeight="1">
      <c r="B88" s="114" t="s">
        <v>4</v>
      </c>
      <c r="C88" s="114"/>
      <c r="D88" s="82" t="s">
        <v>166</v>
      </c>
      <c r="E88" s="94" t="s">
        <v>171</v>
      </c>
      <c r="F88" s="66" t="s">
        <v>1365</v>
      </c>
      <c r="G88" s="82" t="s">
        <v>1366</v>
      </c>
      <c r="I88"/>
      <c r="J88"/>
      <c r="K88"/>
      <c r="L88"/>
    </row>
    <row r="89" spans="2:12" ht="18" customHeight="1">
      <c r="B89" s="114" t="s">
        <v>1485</v>
      </c>
      <c r="C89" s="114"/>
      <c r="D89" s="82" t="s">
        <v>166</v>
      </c>
      <c r="E89" s="94" t="s">
        <v>173</v>
      </c>
      <c r="F89" s="66" t="s">
        <v>1365</v>
      </c>
      <c r="G89" s="82" t="s">
        <v>1366</v>
      </c>
      <c r="I89"/>
      <c r="J89"/>
      <c r="K89"/>
      <c r="L89"/>
    </row>
    <row r="90" spans="2:12" ht="18" customHeight="1">
      <c r="B90" s="114" t="s">
        <v>4</v>
      </c>
      <c r="C90" s="114"/>
      <c r="D90" s="82" t="s">
        <v>166</v>
      </c>
      <c r="E90" s="94" t="s">
        <v>167</v>
      </c>
      <c r="F90" s="66" t="s">
        <v>1365</v>
      </c>
      <c r="G90" s="82" t="s">
        <v>1366</v>
      </c>
      <c r="I90"/>
      <c r="J90"/>
      <c r="K90"/>
      <c r="L90"/>
    </row>
    <row r="91" spans="2:12" ht="18" customHeight="1">
      <c r="B91" s="114" t="s">
        <v>1483</v>
      </c>
      <c r="C91" s="114"/>
      <c r="D91" s="82" t="s">
        <v>894</v>
      </c>
      <c r="E91" s="94"/>
      <c r="F91" s="66" t="s">
        <v>1367</v>
      </c>
      <c r="G91" s="82" t="s">
        <v>1368</v>
      </c>
      <c r="I91"/>
      <c r="J91"/>
      <c r="K91"/>
      <c r="L91"/>
    </row>
    <row r="92" spans="2:12" ht="18" customHeight="1">
      <c r="B92" s="114" t="s">
        <v>2</v>
      </c>
      <c r="C92" s="114"/>
      <c r="D92" s="82" t="s">
        <v>1310</v>
      </c>
      <c r="E92" s="94" t="s">
        <v>1310</v>
      </c>
      <c r="F92" s="66" t="s">
        <v>1369</v>
      </c>
      <c r="G92" s="82" t="s">
        <v>1370</v>
      </c>
      <c r="I92"/>
      <c r="J92"/>
      <c r="K92"/>
      <c r="L92"/>
    </row>
    <row r="93" spans="2:12" ht="18" customHeight="1">
      <c r="B93" s="114" t="s">
        <v>2</v>
      </c>
      <c r="C93" s="114"/>
      <c r="D93" s="82" t="s">
        <v>1373</v>
      </c>
      <c r="E93" s="94" t="s">
        <v>99</v>
      </c>
      <c r="F93" s="66" t="s">
        <v>1371</v>
      </c>
      <c r="G93" s="82" t="s">
        <v>1374</v>
      </c>
      <c r="I93"/>
      <c r="J93"/>
      <c r="K93"/>
      <c r="L93"/>
    </row>
    <row r="94" spans="2:12" ht="18" customHeight="1">
      <c r="B94" s="114" t="s">
        <v>1486</v>
      </c>
      <c r="C94" s="114"/>
      <c r="D94" s="82"/>
      <c r="E94" s="94" t="s">
        <v>1040</v>
      </c>
      <c r="F94" s="66" t="s">
        <v>1371</v>
      </c>
      <c r="G94" s="82" t="s">
        <v>1372</v>
      </c>
      <c r="I94"/>
      <c r="J94"/>
      <c r="K94"/>
      <c r="L94"/>
    </row>
    <row r="95" spans="2:12" ht="18" customHeight="1">
      <c r="B95" s="114" t="s">
        <v>4</v>
      </c>
      <c r="C95" s="114"/>
      <c r="D95" s="82"/>
      <c r="E95" s="94" t="s">
        <v>1039</v>
      </c>
      <c r="F95" s="66" t="s">
        <v>1371</v>
      </c>
      <c r="G95" s="82" t="s">
        <v>1372</v>
      </c>
      <c r="I95"/>
      <c r="J95"/>
      <c r="K95"/>
      <c r="L95"/>
    </row>
    <row r="96" spans="2:12" ht="18" customHeight="1">
      <c r="B96" s="114" t="s">
        <v>1487</v>
      </c>
      <c r="C96" s="114"/>
      <c r="D96" s="82" t="s">
        <v>340</v>
      </c>
      <c r="E96" s="94" t="s">
        <v>99</v>
      </c>
      <c r="F96" s="66" t="s">
        <v>1371</v>
      </c>
      <c r="G96" s="82" t="s">
        <v>1363</v>
      </c>
      <c r="I96"/>
      <c r="J96"/>
      <c r="K96"/>
      <c r="L96"/>
    </row>
    <row r="97" spans="2:12" ht="18" customHeight="1">
      <c r="B97" s="114" t="s">
        <v>1482</v>
      </c>
      <c r="C97" s="114"/>
      <c r="D97" s="82" t="s">
        <v>34</v>
      </c>
      <c r="E97" s="94"/>
      <c r="F97" s="66" t="s">
        <v>1371</v>
      </c>
      <c r="G97" s="82" t="s">
        <v>1375</v>
      </c>
      <c r="I97"/>
      <c r="J97"/>
      <c r="K97"/>
      <c r="L97"/>
    </row>
    <row r="98" spans="2:12" ht="18" customHeight="1">
      <c r="B98" s="114" t="s">
        <v>1483</v>
      </c>
      <c r="C98" s="114"/>
      <c r="D98" s="82" t="s">
        <v>1316</v>
      </c>
      <c r="E98" s="94" t="s">
        <v>1323</v>
      </c>
      <c r="F98" s="66" t="s">
        <v>1376</v>
      </c>
      <c r="G98" s="82" t="s">
        <v>1473</v>
      </c>
      <c r="I98"/>
      <c r="J98"/>
      <c r="K98"/>
      <c r="L98"/>
    </row>
    <row r="99" spans="2:12" ht="18" customHeight="1">
      <c r="B99" s="114" t="s">
        <v>1483</v>
      </c>
      <c r="C99" s="114"/>
      <c r="D99" s="82" t="s">
        <v>1316</v>
      </c>
      <c r="E99" s="94" t="s">
        <v>1307</v>
      </c>
      <c r="F99" s="66" t="s">
        <v>1376</v>
      </c>
      <c r="G99" s="82" t="s">
        <v>1473</v>
      </c>
      <c r="I99"/>
      <c r="J99"/>
      <c r="K99"/>
      <c r="L99"/>
    </row>
    <row r="100" spans="2:12" ht="18" customHeight="1">
      <c r="B100" s="114" t="s">
        <v>1</v>
      </c>
      <c r="C100" s="114"/>
      <c r="D100" s="82" t="s">
        <v>1474</v>
      </c>
      <c r="E100" s="94" t="s">
        <v>85</v>
      </c>
      <c r="F100" s="66" t="s">
        <v>1376</v>
      </c>
      <c r="G100" s="82" t="s">
        <v>1475</v>
      </c>
      <c r="I100"/>
      <c r="J100"/>
      <c r="K100"/>
      <c r="L100"/>
    </row>
    <row r="101" spans="2:12" ht="18" customHeight="1">
      <c r="B101" s="114" t="s">
        <v>3</v>
      </c>
      <c r="C101" s="114"/>
      <c r="D101" s="82" t="s">
        <v>1046</v>
      </c>
      <c r="E101" s="94" t="s">
        <v>110</v>
      </c>
      <c r="F101" s="66" t="s">
        <v>1376</v>
      </c>
      <c r="G101" s="82" t="s">
        <v>1465</v>
      </c>
      <c r="I101"/>
      <c r="J101"/>
      <c r="K101"/>
      <c r="L101"/>
    </row>
    <row r="102" spans="2:12" ht="18" customHeight="1">
      <c r="B102" s="114" t="s">
        <v>3</v>
      </c>
      <c r="C102" s="114"/>
      <c r="D102" s="82" t="s">
        <v>1046</v>
      </c>
      <c r="E102" s="94" t="s">
        <v>87</v>
      </c>
      <c r="F102" s="66" t="s">
        <v>1376</v>
      </c>
      <c r="G102" s="82" t="s">
        <v>1465</v>
      </c>
      <c r="I102"/>
      <c r="J102"/>
      <c r="K102"/>
      <c r="L102"/>
    </row>
    <row r="103" spans="2:12" ht="18" customHeight="1">
      <c r="B103" s="114" t="s">
        <v>1488</v>
      </c>
      <c r="C103" s="114"/>
      <c r="D103" s="82" t="s">
        <v>1046</v>
      </c>
      <c r="E103" s="94" t="s">
        <v>93</v>
      </c>
      <c r="F103" s="66" t="s">
        <v>1376</v>
      </c>
      <c r="G103" s="82" t="s">
        <v>1465</v>
      </c>
      <c r="I103"/>
      <c r="J103"/>
      <c r="K103"/>
      <c r="L103"/>
    </row>
    <row r="104" spans="2:12" ht="18" customHeight="1">
      <c r="B104" s="114" t="s">
        <v>8</v>
      </c>
      <c r="C104" s="114"/>
      <c r="D104" s="82" t="s">
        <v>1030</v>
      </c>
      <c r="E104" s="94" t="s">
        <v>110</v>
      </c>
      <c r="F104" s="66" t="s">
        <v>1376</v>
      </c>
      <c r="G104" s="82" t="s">
        <v>1377</v>
      </c>
      <c r="I104"/>
      <c r="J104"/>
      <c r="K104"/>
      <c r="L104"/>
    </row>
    <row r="105" spans="2:12" ht="18" customHeight="1">
      <c r="B105" s="114" t="s">
        <v>3</v>
      </c>
      <c r="C105" s="114"/>
      <c r="D105" s="82" t="s">
        <v>1046</v>
      </c>
      <c r="E105" s="94" t="s">
        <v>85</v>
      </c>
      <c r="F105" s="66" t="s">
        <v>1376</v>
      </c>
      <c r="G105" s="82" t="s">
        <v>1465</v>
      </c>
      <c r="I105"/>
      <c r="J105"/>
      <c r="K105"/>
      <c r="L105"/>
    </row>
    <row r="106" spans="2:12" ht="18" customHeight="1">
      <c r="B106" s="114" t="s">
        <v>1488</v>
      </c>
      <c r="C106" s="114"/>
      <c r="D106" s="82" t="s">
        <v>1046</v>
      </c>
      <c r="E106" s="94" t="s">
        <v>140</v>
      </c>
      <c r="F106" s="66" t="s">
        <v>1376</v>
      </c>
      <c r="G106" s="82" t="s">
        <v>1465</v>
      </c>
      <c r="I106"/>
      <c r="J106"/>
      <c r="K106"/>
      <c r="L106"/>
    </row>
    <row r="107" spans="2:12" ht="18" customHeight="1">
      <c r="B107" s="114" t="s">
        <v>8</v>
      </c>
      <c r="C107" s="114"/>
      <c r="D107" s="82" t="s">
        <v>1030</v>
      </c>
      <c r="E107" s="94" t="s">
        <v>93</v>
      </c>
      <c r="F107" s="66" t="s">
        <v>1376</v>
      </c>
      <c r="G107" s="82" t="s">
        <v>1377</v>
      </c>
      <c r="I107"/>
      <c r="J107"/>
      <c r="K107"/>
      <c r="L107"/>
    </row>
    <row r="108" spans="2:12" ht="18" customHeight="1">
      <c r="B108" s="114" t="s">
        <v>1489</v>
      </c>
      <c r="C108" s="114"/>
      <c r="D108" s="82" t="s">
        <v>1311</v>
      </c>
      <c r="E108" s="94" t="s">
        <v>140</v>
      </c>
      <c r="F108" s="66" t="s">
        <v>1376</v>
      </c>
      <c r="G108" s="82" t="s">
        <v>1378</v>
      </c>
      <c r="I108"/>
      <c r="J108"/>
      <c r="K108"/>
      <c r="L108"/>
    </row>
    <row r="109" spans="2:12" ht="18" customHeight="1">
      <c r="B109" s="114" t="s">
        <v>1</v>
      </c>
      <c r="C109" s="114"/>
      <c r="D109" s="82" t="s">
        <v>24</v>
      </c>
      <c r="E109" s="94" t="s">
        <v>38</v>
      </c>
      <c r="F109" s="66" t="s">
        <v>1376</v>
      </c>
      <c r="G109" s="82" t="s">
        <v>1364</v>
      </c>
      <c r="I109"/>
      <c r="J109"/>
      <c r="K109"/>
      <c r="L109"/>
    </row>
    <row r="110" spans="2:12" ht="18" customHeight="1">
      <c r="B110" s="114" t="s">
        <v>1482</v>
      </c>
      <c r="C110" s="114"/>
      <c r="D110" s="82" t="s">
        <v>24</v>
      </c>
      <c r="E110" s="94" t="s">
        <v>36</v>
      </c>
      <c r="F110" s="66" t="s">
        <v>1376</v>
      </c>
      <c r="G110" s="82" t="s">
        <v>1364</v>
      </c>
      <c r="I110"/>
      <c r="J110"/>
      <c r="K110"/>
      <c r="L110"/>
    </row>
    <row r="111" spans="2:12" ht="18" customHeight="1">
      <c r="B111" s="114" t="s">
        <v>1487</v>
      </c>
      <c r="C111" s="114"/>
      <c r="D111" s="82" t="s">
        <v>1030</v>
      </c>
      <c r="E111" s="94" t="s">
        <v>140</v>
      </c>
      <c r="F111" s="66" t="s">
        <v>1376</v>
      </c>
      <c r="G111" s="82" t="s">
        <v>1377</v>
      </c>
      <c r="I111"/>
      <c r="J111"/>
      <c r="K111"/>
      <c r="L111"/>
    </row>
    <row r="112" spans="2:12" ht="18" customHeight="1">
      <c r="B112" s="114" t="s">
        <v>2</v>
      </c>
      <c r="C112" s="114"/>
      <c r="D112" s="82" t="s">
        <v>1021</v>
      </c>
      <c r="E112" s="94" t="s">
        <v>87</v>
      </c>
      <c r="F112" s="66" t="s">
        <v>1379</v>
      </c>
      <c r="G112" s="82" t="s">
        <v>1380</v>
      </c>
      <c r="I112"/>
      <c r="J112"/>
      <c r="K112"/>
      <c r="L112"/>
    </row>
    <row r="113" spans="2:12" ht="18" customHeight="1">
      <c r="B113" s="114" t="s">
        <v>1488</v>
      </c>
      <c r="C113" s="114"/>
      <c r="D113" s="82" t="s">
        <v>1046</v>
      </c>
      <c r="E113" s="94" t="s">
        <v>1476</v>
      </c>
      <c r="F113" s="66" t="s">
        <v>1379</v>
      </c>
      <c r="G113" s="82" t="s">
        <v>1465</v>
      </c>
      <c r="I113"/>
      <c r="J113"/>
      <c r="K113"/>
      <c r="L113"/>
    </row>
    <row r="114" spans="2:12" ht="18" customHeight="1">
      <c r="B114" s="114" t="s">
        <v>2</v>
      </c>
      <c r="C114" s="114"/>
      <c r="D114" s="82" t="s">
        <v>102</v>
      </c>
      <c r="E114" s="94" t="s">
        <v>42</v>
      </c>
      <c r="F114" s="66" t="s">
        <v>1379</v>
      </c>
      <c r="G114" s="82" t="s">
        <v>1383</v>
      </c>
      <c r="I114"/>
      <c r="J114"/>
      <c r="K114"/>
      <c r="L114"/>
    </row>
    <row r="115" spans="2:12" ht="18" customHeight="1">
      <c r="B115" s="114" t="s">
        <v>4</v>
      </c>
      <c r="C115" s="114"/>
      <c r="D115" s="82" t="s">
        <v>891</v>
      </c>
      <c r="E115" s="94" t="s">
        <v>893</v>
      </c>
      <c r="F115" s="66" t="s">
        <v>1379</v>
      </c>
      <c r="G115" s="82" t="s">
        <v>1381</v>
      </c>
      <c r="I115"/>
      <c r="J115"/>
      <c r="K115"/>
      <c r="L115"/>
    </row>
    <row r="116" spans="2:12" ht="18" customHeight="1">
      <c r="B116" s="114" t="s">
        <v>8</v>
      </c>
      <c r="C116" s="114"/>
      <c r="D116" s="82" t="s">
        <v>1030</v>
      </c>
      <c r="E116" s="94" t="s">
        <v>87</v>
      </c>
      <c r="F116" s="66" t="s">
        <v>1379</v>
      </c>
      <c r="G116" s="82" t="s">
        <v>1377</v>
      </c>
      <c r="I116"/>
      <c r="J116"/>
      <c r="K116"/>
      <c r="L116"/>
    </row>
    <row r="117" spans="2:12" ht="18" customHeight="1">
      <c r="B117" s="114" t="s">
        <v>3</v>
      </c>
      <c r="C117" s="114"/>
      <c r="D117" s="82" t="s">
        <v>1046</v>
      </c>
      <c r="E117" s="94" t="s">
        <v>1477</v>
      </c>
      <c r="F117" s="66" t="s">
        <v>1379</v>
      </c>
      <c r="G117" s="82" t="s">
        <v>1465</v>
      </c>
      <c r="I117"/>
      <c r="J117"/>
      <c r="K117"/>
      <c r="L117"/>
    </row>
    <row r="118" spans="2:12" ht="18" customHeight="1">
      <c r="B118" s="114" t="s">
        <v>3</v>
      </c>
      <c r="C118" s="114"/>
      <c r="D118" s="82" t="s">
        <v>1046</v>
      </c>
      <c r="E118" s="94" t="s">
        <v>1478</v>
      </c>
      <c r="F118" s="66" t="s">
        <v>1379</v>
      </c>
      <c r="G118" s="82" t="s">
        <v>1465</v>
      </c>
      <c r="I118"/>
      <c r="J118"/>
      <c r="K118"/>
      <c r="L118"/>
    </row>
    <row r="119" spans="2:12" ht="18" customHeight="1">
      <c r="B119" s="114" t="s">
        <v>3</v>
      </c>
      <c r="C119" s="114"/>
      <c r="D119" s="82" t="s">
        <v>1046</v>
      </c>
      <c r="E119" s="94" t="s">
        <v>1479</v>
      </c>
      <c r="F119" s="66" t="s">
        <v>1379</v>
      </c>
      <c r="G119" s="82" t="s">
        <v>1465</v>
      </c>
      <c r="I119"/>
      <c r="J119"/>
      <c r="K119"/>
      <c r="L119"/>
    </row>
    <row r="120" spans="2:12" ht="18" customHeight="1">
      <c r="B120" s="114" t="s">
        <v>4</v>
      </c>
      <c r="C120" s="114"/>
      <c r="D120" s="82" t="s">
        <v>886</v>
      </c>
      <c r="E120" s="94" t="s">
        <v>887</v>
      </c>
      <c r="F120" s="66" t="s">
        <v>1379</v>
      </c>
      <c r="G120" s="82" t="s">
        <v>1382</v>
      </c>
      <c r="I120"/>
      <c r="J120"/>
      <c r="K120"/>
      <c r="L120"/>
    </row>
    <row r="121" spans="2:12" ht="18" customHeight="1">
      <c r="B121" s="114" t="s">
        <v>1482</v>
      </c>
      <c r="C121" s="114"/>
      <c r="D121" s="82" t="s">
        <v>41</v>
      </c>
      <c r="E121" s="94" t="s">
        <v>42</v>
      </c>
      <c r="F121" s="66" t="s">
        <v>1379</v>
      </c>
      <c r="G121" s="82" t="s">
        <v>1384</v>
      </c>
      <c r="I121"/>
      <c r="J121"/>
      <c r="K121"/>
      <c r="L121"/>
    </row>
    <row r="122" spans="2:12" ht="18" customHeight="1">
      <c r="B122" s="114" t="s">
        <v>2</v>
      </c>
      <c r="C122" s="114"/>
      <c r="D122" s="82" t="s">
        <v>1021</v>
      </c>
      <c r="E122" s="94" t="s">
        <v>85</v>
      </c>
      <c r="F122" s="66" t="s">
        <v>1385</v>
      </c>
      <c r="G122" s="82" t="s">
        <v>1380</v>
      </c>
      <c r="I122"/>
      <c r="J122"/>
      <c r="K122"/>
      <c r="L122"/>
    </row>
    <row r="123" spans="2:12" ht="18" customHeight="1">
      <c r="B123" s="114" t="s">
        <v>8</v>
      </c>
      <c r="C123" s="114"/>
      <c r="D123" s="82" t="s">
        <v>1311</v>
      </c>
      <c r="E123" s="94" t="s">
        <v>110</v>
      </c>
      <c r="F123" s="66" t="s">
        <v>1385</v>
      </c>
      <c r="G123" s="82" t="s">
        <v>1378</v>
      </c>
      <c r="I123"/>
      <c r="J123"/>
      <c r="K123"/>
      <c r="L123"/>
    </row>
    <row r="124" spans="2:12" ht="18" customHeight="1">
      <c r="B124" s="114" t="s">
        <v>3</v>
      </c>
      <c r="C124" s="114"/>
      <c r="D124" s="82" t="s">
        <v>132</v>
      </c>
      <c r="E124" s="94" t="s">
        <v>1387</v>
      </c>
      <c r="F124" s="66" t="s">
        <v>1385</v>
      </c>
      <c r="G124" s="82" t="s">
        <v>1329</v>
      </c>
      <c r="I124"/>
      <c r="J124"/>
      <c r="K124"/>
      <c r="L124"/>
    </row>
    <row r="125" spans="2:12" ht="18" customHeight="1">
      <c r="B125" s="114" t="s">
        <v>1483</v>
      </c>
      <c r="C125" s="114"/>
      <c r="D125" s="82" t="s">
        <v>1021</v>
      </c>
      <c r="E125" s="94" t="s">
        <v>93</v>
      </c>
      <c r="F125" s="66" t="s">
        <v>1385</v>
      </c>
      <c r="G125" s="82" t="s">
        <v>1380</v>
      </c>
      <c r="I125"/>
      <c r="J125"/>
      <c r="K125"/>
      <c r="L125"/>
    </row>
    <row r="126" spans="2:12" ht="18" customHeight="1">
      <c r="B126" s="114" t="s">
        <v>3</v>
      </c>
      <c r="C126" s="114"/>
      <c r="D126" s="82" t="s">
        <v>132</v>
      </c>
      <c r="E126" s="94" t="s">
        <v>1325</v>
      </c>
      <c r="F126" s="66" t="s">
        <v>1385</v>
      </c>
      <c r="G126" s="82" t="s">
        <v>1329</v>
      </c>
      <c r="I126"/>
      <c r="J126"/>
      <c r="K126"/>
      <c r="L126"/>
    </row>
    <row r="127" spans="2:12" ht="18" customHeight="1">
      <c r="B127" s="114" t="s">
        <v>8</v>
      </c>
      <c r="C127" s="114"/>
      <c r="D127" s="82" t="s">
        <v>1030</v>
      </c>
      <c r="E127" s="94" t="s">
        <v>129</v>
      </c>
      <c r="F127" s="66" t="s">
        <v>1385</v>
      </c>
      <c r="G127" s="82" t="s">
        <v>1377</v>
      </c>
      <c r="I127"/>
      <c r="J127"/>
      <c r="K127"/>
      <c r="L127"/>
    </row>
    <row r="128" spans="2:12" ht="18" customHeight="1">
      <c r="B128" s="114" t="s">
        <v>1</v>
      </c>
      <c r="C128" s="114"/>
      <c r="D128" s="82" t="s">
        <v>1474</v>
      </c>
      <c r="E128" s="94" t="s">
        <v>110</v>
      </c>
      <c r="F128" s="66" t="s">
        <v>1388</v>
      </c>
      <c r="G128" s="82" t="s">
        <v>1475</v>
      </c>
      <c r="I128"/>
      <c r="J128"/>
      <c r="K128"/>
      <c r="L128"/>
    </row>
    <row r="129" spans="2:12" ht="18" customHeight="1">
      <c r="B129" s="114" t="s">
        <v>1482</v>
      </c>
      <c r="C129" s="114"/>
      <c r="D129" s="82" t="s">
        <v>1031</v>
      </c>
      <c r="E129" s="94" t="s">
        <v>85</v>
      </c>
      <c r="F129" s="66" t="s">
        <v>1388</v>
      </c>
      <c r="G129" s="82" t="s">
        <v>1389</v>
      </c>
      <c r="I129"/>
      <c r="J129"/>
      <c r="K129"/>
      <c r="L129"/>
    </row>
    <row r="130" spans="2:12" ht="18" customHeight="1">
      <c r="B130" s="114" t="s">
        <v>1</v>
      </c>
      <c r="C130" s="114"/>
      <c r="D130" s="82" t="s">
        <v>878</v>
      </c>
      <c r="E130" s="94" t="s">
        <v>879</v>
      </c>
      <c r="F130" s="66" t="s">
        <v>1388</v>
      </c>
      <c r="G130" s="82" t="s">
        <v>1390</v>
      </c>
      <c r="I130"/>
      <c r="J130"/>
      <c r="K130"/>
      <c r="L130"/>
    </row>
    <row r="131" spans="2:12" ht="18" customHeight="1">
      <c r="B131" s="114" t="s">
        <v>1482</v>
      </c>
      <c r="C131" s="114"/>
      <c r="D131" s="82" t="s">
        <v>24</v>
      </c>
      <c r="E131" s="94" t="s">
        <v>47</v>
      </c>
      <c r="F131" s="66" t="s">
        <v>1391</v>
      </c>
      <c r="G131" s="82" t="s">
        <v>1395</v>
      </c>
      <c r="I131"/>
      <c r="J131"/>
      <c r="K131"/>
      <c r="L131"/>
    </row>
    <row r="132" spans="2:12" ht="18" customHeight="1">
      <c r="B132" s="114" t="s">
        <v>1</v>
      </c>
      <c r="C132" s="114"/>
      <c r="D132" s="82" t="s">
        <v>24</v>
      </c>
      <c r="E132" s="94" t="s">
        <v>45</v>
      </c>
      <c r="F132" s="66" t="s">
        <v>1391</v>
      </c>
      <c r="G132" s="82" t="s">
        <v>1395</v>
      </c>
      <c r="I132"/>
      <c r="J132"/>
      <c r="K132"/>
      <c r="L132"/>
    </row>
    <row r="133" spans="2:12" ht="18" customHeight="1">
      <c r="B133" s="114" t="s">
        <v>1487</v>
      </c>
      <c r="C133" s="114"/>
      <c r="D133" s="82" t="s">
        <v>340</v>
      </c>
      <c r="E133" s="94" t="s">
        <v>59</v>
      </c>
      <c r="F133" s="66" t="s">
        <v>1391</v>
      </c>
      <c r="G133" s="82" t="s">
        <v>1362</v>
      </c>
      <c r="I133"/>
      <c r="J133"/>
      <c r="K133"/>
      <c r="L133"/>
    </row>
    <row r="134" spans="2:12" ht="18" customHeight="1">
      <c r="B134" s="114" t="s">
        <v>4</v>
      </c>
      <c r="C134" s="114"/>
      <c r="D134" s="82" t="s">
        <v>1312</v>
      </c>
      <c r="E134" s="94" t="s">
        <v>93</v>
      </c>
      <c r="F134" s="66" t="s">
        <v>1391</v>
      </c>
      <c r="G134" s="82" t="s">
        <v>1394</v>
      </c>
      <c r="I134"/>
      <c r="J134"/>
      <c r="K134"/>
      <c r="L134"/>
    </row>
    <row r="135" spans="2:12" ht="18" customHeight="1">
      <c r="B135" s="114" t="s">
        <v>1485</v>
      </c>
      <c r="C135" s="114"/>
      <c r="D135" s="82" t="s">
        <v>1312</v>
      </c>
      <c r="E135" s="94" t="s">
        <v>87</v>
      </c>
      <c r="F135" s="66" t="s">
        <v>1391</v>
      </c>
      <c r="G135" s="82" t="s">
        <v>1394</v>
      </c>
      <c r="I135"/>
      <c r="J135"/>
      <c r="K135"/>
      <c r="L135"/>
    </row>
    <row r="136" spans="2:12" ht="18" customHeight="1">
      <c r="B136" s="114" t="s">
        <v>1489</v>
      </c>
      <c r="C136" s="114"/>
      <c r="D136" s="82" t="s">
        <v>1311</v>
      </c>
      <c r="E136" s="94" t="s">
        <v>93</v>
      </c>
      <c r="F136" s="66" t="s">
        <v>1391</v>
      </c>
      <c r="G136" s="82" t="s">
        <v>1378</v>
      </c>
      <c r="I136"/>
      <c r="J136"/>
      <c r="K136"/>
      <c r="L136"/>
    </row>
    <row r="137" spans="2:12" ht="18" customHeight="1">
      <c r="B137" s="114" t="s">
        <v>13</v>
      </c>
      <c r="C137" s="114"/>
      <c r="D137" s="82" t="s">
        <v>1017</v>
      </c>
      <c r="E137" s="94" t="s">
        <v>906</v>
      </c>
      <c r="F137" s="66" t="s">
        <v>1391</v>
      </c>
      <c r="G137" s="82" t="s">
        <v>1339</v>
      </c>
      <c r="I137"/>
      <c r="J137"/>
      <c r="K137"/>
      <c r="L137"/>
    </row>
    <row r="138" spans="2:12" ht="18" customHeight="1">
      <c r="B138" s="114" t="s">
        <v>4</v>
      </c>
      <c r="C138" s="114"/>
      <c r="D138" s="82" t="s">
        <v>1032</v>
      </c>
      <c r="E138" s="94" t="s">
        <v>1344</v>
      </c>
      <c r="F138" s="66" t="s">
        <v>1391</v>
      </c>
      <c r="G138" s="82" t="s">
        <v>1392</v>
      </c>
      <c r="I138"/>
      <c r="J138"/>
      <c r="K138"/>
      <c r="L138"/>
    </row>
    <row r="139" spans="2:12" ht="18" customHeight="1">
      <c r="B139" s="114" t="s">
        <v>8</v>
      </c>
      <c r="C139" s="114"/>
      <c r="D139" s="82" t="s">
        <v>1030</v>
      </c>
      <c r="E139" s="94" t="s">
        <v>85</v>
      </c>
      <c r="F139" s="66" t="s">
        <v>1391</v>
      </c>
      <c r="G139" s="82" t="s">
        <v>1377</v>
      </c>
      <c r="I139"/>
      <c r="J139"/>
      <c r="K139"/>
      <c r="L139"/>
    </row>
    <row r="140" spans="2:12" ht="18" customHeight="1">
      <c r="B140" s="114" t="s">
        <v>1482</v>
      </c>
      <c r="C140" s="114"/>
      <c r="D140" s="82" t="s">
        <v>1474</v>
      </c>
      <c r="E140" s="94" t="s">
        <v>87</v>
      </c>
      <c r="F140" s="66" t="s">
        <v>1391</v>
      </c>
      <c r="G140" s="82" t="s">
        <v>1475</v>
      </c>
      <c r="I140"/>
      <c r="J140"/>
      <c r="K140"/>
      <c r="L140"/>
    </row>
    <row r="141" spans="2:12" ht="18" customHeight="1">
      <c r="B141" s="114" t="s">
        <v>8</v>
      </c>
      <c r="C141" s="114"/>
      <c r="D141" s="82" t="s">
        <v>1311</v>
      </c>
      <c r="E141" s="94" t="s">
        <v>129</v>
      </c>
      <c r="F141" s="66" t="s">
        <v>1396</v>
      </c>
      <c r="G141" s="82" t="s">
        <v>1378</v>
      </c>
      <c r="I141"/>
      <c r="J141"/>
      <c r="K141"/>
      <c r="L141"/>
    </row>
    <row r="142" spans="2:12" ht="18" customHeight="1">
      <c r="B142" s="114" t="s">
        <v>8</v>
      </c>
      <c r="C142" s="114"/>
      <c r="D142" s="82" t="s">
        <v>1311</v>
      </c>
      <c r="E142" s="94" t="s">
        <v>87</v>
      </c>
      <c r="F142" s="66" t="s">
        <v>1396</v>
      </c>
      <c r="G142" s="82" t="s">
        <v>1378</v>
      </c>
      <c r="I142"/>
      <c r="J142"/>
      <c r="K142"/>
      <c r="L142"/>
    </row>
    <row r="143" spans="2:12" ht="18" customHeight="1">
      <c r="B143" s="114" t="s">
        <v>1490</v>
      </c>
      <c r="C143" s="114"/>
      <c r="D143" s="82" t="s">
        <v>889</v>
      </c>
      <c r="E143" s="94" t="s">
        <v>85</v>
      </c>
      <c r="F143" s="66" t="s">
        <v>1396</v>
      </c>
      <c r="G143" s="82" t="s">
        <v>1333</v>
      </c>
      <c r="I143"/>
      <c r="J143"/>
      <c r="K143"/>
      <c r="L143"/>
    </row>
    <row r="144" spans="2:12" ht="18" customHeight="1">
      <c r="B144" s="114" t="s">
        <v>7</v>
      </c>
      <c r="C144" s="114"/>
      <c r="D144" s="82" t="s">
        <v>299</v>
      </c>
      <c r="E144" s="94" t="s">
        <v>87</v>
      </c>
      <c r="F144" s="66" t="s">
        <v>1396</v>
      </c>
      <c r="G144" s="82" t="s">
        <v>1333</v>
      </c>
      <c r="I144"/>
      <c r="J144"/>
      <c r="K144"/>
      <c r="L144"/>
    </row>
    <row r="145" spans="2:12" ht="18" customHeight="1">
      <c r="B145" s="114" t="s">
        <v>3</v>
      </c>
      <c r="C145" s="114"/>
      <c r="D145" s="82" t="s">
        <v>136</v>
      </c>
      <c r="E145" s="94" t="s">
        <v>118</v>
      </c>
      <c r="F145" s="66" t="s">
        <v>1396</v>
      </c>
      <c r="G145" s="82" t="s">
        <v>1398</v>
      </c>
      <c r="I145"/>
      <c r="J145"/>
      <c r="K145"/>
      <c r="L145"/>
    </row>
    <row r="146" spans="2:12" ht="18" customHeight="1">
      <c r="B146" s="114" t="s">
        <v>1488</v>
      </c>
      <c r="C146" s="114"/>
      <c r="D146" s="82" t="s">
        <v>136</v>
      </c>
      <c r="E146" s="94" t="s">
        <v>129</v>
      </c>
      <c r="F146" s="66" t="s">
        <v>1396</v>
      </c>
      <c r="G146" s="82" t="s">
        <v>1398</v>
      </c>
      <c r="I146"/>
      <c r="J146"/>
      <c r="K146"/>
      <c r="L146"/>
    </row>
    <row r="147" spans="2:12" ht="18" customHeight="1">
      <c r="B147" s="114" t="s">
        <v>1482</v>
      </c>
      <c r="C147" s="114"/>
      <c r="D147" s="82" t="s">
        <v>50</v>
      </c>
      <c r="E147" s="94"/>
      <c r="F147" s="66" t="s">
        <v>1396</v>
      </c>
      <c r="G147" s="82" t="s">
        <v>1399</v>
      </c>
      <c r="I147"/>
      <c r="J147"/>
      <c r="K147"/>
      <c r="L147"/>
    </row>
    <row r="148" spans="2:12" ht="18" customHeight="1">
      <c r="B148" s="114" t="s">
        <v>8</v>
      </c>
      <c r="C148" s="114"/>
      <c r="D148" s="82" t="s">
        <v>1311</v>
      </c>
      <c r="E148" s="94" t="s">
        <v>85</v>
      </c>
      <c r="F148" s="66" t="s">
        <v>1400</v>
      </c>
      <c r="G148" s="82" t="s">
        <v>1378</v>
      </c>
      <c r="I148"/>
      <c r="J148"/>
      <c r="K148"/>
      <c r="L148"/>
    </row>
    <row r="149" spans="2:12" ht="18" customHeight="1">
      <c r="B149" s="114" t="s">
        <v>4</v>
      </c>
      <c r="C149" s="114"/>
      <c r="D149" s="82" t="s">
        <v>180</v>
      </c>
      <c r="E149" s="94" t="s">
        <v>1387</v>
      </c>
      <c r="F149" s="66" t="s">
        <v>1400</v>
      </c>
      <c r="G149" s="82" t="s">
        <v>1402</v>
      </c>
      <c r="I149"/>
      <c r="J149"/>
      <c r="K149"/>
      <c r="L149"/>
    </row>
    <row r="150" spans="2:12" ht="18" customHeight="1">
      <c r="B150" s="114" t="s">
        <v>4</v>
      </c>
      <c r="C150" s="114"/>
      <c r="D150" s="82" t="s">
        <v>183</v>
      </c>
      <c r="E150" s="94" t="s">
        <v>87</v>
      </c>
      <c r="F150" s="66" t="s">
        <v>1400</v>
      </c>
      <c r="G150" s="82" t="s">
        <v>1403</v>
      </c>
      <c r="I150"/>
      <c r="J150"/>
      <c r="K150"/>
      <c r="L150"/>
    </row>
    <row r="151" spans="2:12" ht="18" customHeight="1">
      <c r="B151" s="114" t="s">
        <v>3</v>
      </c>
      <c r="C151" s="114"/>
      <c r="D151" s="82" t="s">
        <v>136</v>
      </c>
      <c r="E151" s="94" t="s">
        <v>110</v>
      </c>
      <c r="F151" s="66" t="s">
        <v>1400</v>
      </c>
      <c r="G151" s="82" t="s">
        <v>1398</v>
      </c>
      <c r="I151"/>
      <c r="J151"/>
      <c r="K151"/>
      <c r="L151"/>
    </row>
    <row r="152" spans="2:12" ht="18" customHeight="1">
      <c r="B152" s="114" t="s">
        <v>3</v>
      </c>
      <c r="C152" s="114"/>
      <c r="D152" s="82" t="s">
        <v>136</v>
      </c>
      <c r="E152" s="94" t="s">
        <v>140</v>
      </c>
      <c r="F152" s="66" t="s">
        <v>1400</v>
      </c>
      <c r="G152" s="82" t="s">
        <v>1398</v>
      </c>
      <c r="I152"/>
      <c r="J152"/>
      <c r="K152"/>
      <c r="L152"/>
    </row>
    <row r="153" spans="2:12" ht="18" customHeight="1">
      <c r="B153" s="114" t="s">
        <v>8</v>
      </c>
      <c r="C153" s="114"/>
      <c r="D153" s="82" t="s">
        <v>1311</v>
      </c>
      <c r="E153" s="94" t="s">
        <v>118</v>
      </c>
      <c r="F153" s="66" t="s">
        <v>1400</v>
      </c>
      <c r="G153" s="82" t="s">
        <v>1378</v>
      </c>
      <c r="I153"/>
      <c r="J153"/>
      <c r="K153"/>
      <c r="L153"/>
    </row>
    <row r="154" spans="2:12" ht="18" customHeight="1">
      <c r="B154" s="114" t="s">
        <v>2</v>
      </c>
      <c r="C154" s="114"/>
      <c r="D154" s="82" t="s">
        <v>1018</v>
      </c>
      <c r="E154" s="94" t="s">
        <v>1019</v>
      </c>
      <c r="F154" s="66" t="s">
        <v>1400</v>
      </c>
      <c r="G154" s="82" t="s">
        <v>1401</v>
      </c>
      <c r="I154"/>
      <c r="J154"/>
      <c r="K154"/>
      <c r="L154"/>
    </row>
    <row r="155" spans="2:12" ht="18" customHeight="1">
      <c r="B155" s="114" t="s">
        <v>2</v>
      </c>
      <c r="C155" s="114"/>
      <c r="D155" s="82" t="s">
        <v>1018</v>
      </c>
      <c r="E155" s="94" t="s">
        <v>1020</v>
      </c>
      <c r="F155" s="66" t="s">
        <v>1400</v>
      </c>
      <c r="G155" s="82" t="s">
        <v>1401</v>
      </c>
      <c r="I155"/>
      <c r="J155"/>
      <c r="K155"/>
      <c r="L155"/>
    </row>
    <row r="156" spans="2:12" ht="18" customHeight="1">
      <c r="B156" s="114" t="s">
        <v>1</v>
      </c>
      <c r="C156" s="114"/>
      <c r="D156" s="82" t="s">
        <v>1293</v>
      </c>
      <c r="E156" s="94" t="s">
        <v>1313</v>
      </c>
      <c r="F156" s="66" t="s">
        <v>1400</v>
      </c>
      <c r="G156" s="82" t="s">
        <v>1353</v>
      </c>
      <c r="I156"/>
      <c r="J156"/>
      <c r="K156"/>
      <c r="L156"/>
    </row>
    <row r="157" spans="2:12" ht="18" customHeight="1">
      <c r="B157" s="114" t="s">
        <v>1483</v>
      </c>
      <c r="C157" s="114"/>
      <c r="D157" s="82" t="s">
        <v>106</v>
      </c>
      <c r="E157" s="94" t="s">
        <v>85</v>
      </c>
      <c r="F157" s="66" t="s">
        <v>1404</v>
      </c>
      <c r="G157" s="82" t="s">
        <v>1405</v>
      </c>
      <c r="I157"/>
      <c r="J157"/>
      <c r="K157"/>
      <c r="L157"/>
    </row>
    <row r="158" spans="2:12" ht="18" customHeight="1">
      <c r="B158" s="114" t="s">
        <v>1483</v>
      </c>
      <c r="C158" s="114"/>
      <c r="D158" s="82" t="s">
        <v>1373</v>
      </c>
      <c r="E158" s="94" t="s">
        <v>59</v>
      </c>
      <c r="F158" s="66" t="s">
        <v>1404</v>
      </c>
      <c r="G158" s="82" t="s">
        <v>1374</v>
      </c>
      <c r="I158"/>
      <c r="J158"/>
      <c r="K158"/>
      <c r="L158"/>
    </row>
    <row r="159" spans="2:12" ht="18" customHeight="1">
      <c r="B159" s="114" t="s">
        <v>3</v>
      </c>
      <c r="C159" s="114"/>
      <c r="D159" s="82" t="s">
        <v>136</v>
      </c>
      <c r="E159" s="94" t="s">
        <v>125</v>
      </c>
      <c r="F159" s="66" t="s">
        <v>1404</v>
      </c>
      <c r="G159" s="82" t="s">
        <v>1398</v>
      </c>
      <c r="I159"/>
      <c r="J159"/>
      <c r="K159"/>
      <c r="L159"/>
    </row>
    <row r="160" spans="2:12" ht="18" customHeight="1">
      <c r="B160" s="114" t="s">
        <v>1491</v>
      </c>
      <c r="C160" s="114"/>
      <c r="D160" s="82" t="s">
        <v>136</v>
      </c>
      <c r="E160" s="94" t="s">
        <v>142</v>
      </c>
      <c r="F160" s="66" t="s">
        <v>1404</v>
      </c>
      <c r="G160" s="82" t="s">
        <v>1398</v>
      </c>
      <c r="I160"/>
      <c r="J160"/>
      <c r="K160"/>
      <c r="L160"/>
    </row>
    <row r="161" spans="2:12" ht="18" customHeight="1">
      <c r="B161" s="114" t="s">
        <v>1483</v>
      </c>
      <c r="C161" s="114"/>
      <c r="D161" s="82" t="s">
        <v>1410</v>
      </c>
      <c r="E161" s="94" t="s">
        <v>114</v>
      </c>
      <c r="F161" s="66" t="s">
        <v>1406</v>
      </c>
      <c r="G161" s="82" t="s">
        <v>1411</v>
      </c>
      <c r="I161"/>
      <c r="J161"/>
      <c r="K161"/>
      <c r="L161"/>
    </row>
    <row r="162" spans="2:12" ht="18" customHeight="1">
      <c r="B162" s="114" t="s">
        <v>2</v>
      </c>
      <c r="C162" s="114"/>
      <c r="D162" s="82" t="s">
        <v>109</v>
      </c>
      <c r="E162" s="94" t="s">
        <v>87</v>
      </c>
      <c r="F162" s="66" t="s">
        <v>1406</v>
      </c>
      <c r="G162" s="82" t="s">
        <v>1411</v>
      </c>
      <c r="I162"/>
      <c r="J162"/>
      <c r="K162"/>
      <c r="L162"/>
    </row>
    <row r="163" spans="2:12" ht="18" customHeight="1">
      <c r="B163" s="114" t="s">
        <v>2</v>
      </c>
      <c r="C163" s="114"/>
      <c r="D163" s="82" t="s">
        <v>1410</v>
      </c>
      <c r="E163" s="94" t="s">
        <v>116</v>
      </c>
      <c r="F163" s="66" t="s">
        <v>1406</v>
      </c>
      <c r="G163" s="82" t="s">
        <v>1411</v>
      </c>
      <c r="I163"/>
      <c r="J163"/>
      <c r="K163"/>
      <c r="L163"/>
    </row>
    <row r="164" spans="2:12" ht="18" customHeight="1">
      <c r="B164" s="114" t="s">
        <v>2</v>
      </c>
      <c r="C164" s="114"/>
      <c r="D164" s="82" t="s">
        <v>109</v>
      </c>
      <c r="E164" s="94" t="s">
        <v>125</v>
      </c>
      <c r="F164" s="66" t="s">
        <v>1406</v>
      </c>
      <c r="G164" s="82" t="s">
        <v>1411</v>
      </c>
      <c r="I164"/>
      <c r="J164"/>
      <c r="K164"/>
      <c r="L164"/>
    </row>
    <row r="165" spans="2:12" ht="18" customHeight="1">
      <c r="B165" s="114" t="s">
        <v>1</v>
      </c>
      <c r="C165" s="114"/>
      <c r="D165" s="82" t="s">
        <v>53</v>
      </c>
      <c r="E165" s="94" t="s">
        <v>38</v>
      </c>
      <c r="F165" s="66" t="s">
        <v>1406</v>
      </c>
      <c r="G165" s="82" t="s">
        <v>1412</v>
      </c>
      <c r="I165"/>
      <c r="J165"/>
      <c r="K165"/>
      <c r="L165"/>
    </row>
    <row r="166" spans="2:12" ht="18" customHeight="1">
      <c r="B166" s="114" t="s">
        <v>1483</v>
      </c>
      <c r="C166" s="114"/>
      <c r="D166" s="82" t="s">
        <v>1410</v>
      </c>
      <c r="E166" s="94" t="s">
        <v>127</v>
      </c>
      <c r="F166" s="66" t="s">
        <v>1406</v>
      </c>
      <c r="G166" s="82" t="s">
        <v>1411</v>
      </c>
      <c r="I166"/>
      <c r="J166"/>
      <c r="K166"/>
      <c r="L166"/>
    </row>
    <row r="167" spans="2:12" ht="18" customHeight="1">
      <c r="B167" s="114" t="s">
        <v>1483</v>
      </c>
      <c r="C167" s="114"/>
      <c r="D167" s="82" t="s">
        <v>109</v>
      </c>
      <c r="E167" s="94" t="s">
        <v>110</v>
      </c>
      <c r="F167" s="66" t="s">
        <v>1406</v>
      </c>
      <c r="G167" s="82" t="s">
        <v>1411</v>
      </c>
      <c r="I167"/>
      <c r="J167"/>
      <c r="K167"/>
      <c r="L167"/>
    </row>
    <row r="168" spans="2:12" ht="18" customHeight="1">
      <c r="B168" s="114" t="s">
        <v>1483</v>
      </c>
      <c r="C168" s="114"/>
      <c r="D168" s="82" t="s">
        <v>109</v>
      </c>
      <c r="E168" s="94" t="s">
        <v>129</v>
      </c>
      <c r="F168" s="66" t="s">
        <v>1406</v>
      </c>
      <c r="G168" s="82" t="s">
        <v>1411</v>
      </c>
    </row>
    <row r="169" spans="2:12" ht="18" customHeight="1">
      <c r="B169" s="114" t="s">
        <v>2</v>
      </c>
      <c r="C169" s="114"/>
      <c r="D169" s="82" t="s">
        <v>109</v>
      </c>
      <c r="E169" s="94" t="s">
        <v>118</v>
      </c>
      <c r="F169" s="66" t="s">
        <v>1406</v>
      </c>
      <c r="G169" s="82" t="s">
        <v>1411</v>
      </c>
    </row>
    <row r="170" spans="2:12" ht="18" customHeight="1">
      <c r="B170" s="114" t="s">
        <v>1483</v>
      </c>
      <c r="C170" s="114"/>
      <c r="D170" s="82" t="s">
        <v>1410</v>
      </c>
      <c r="E170" s="94" t="s">
        <v>112</v>
      </c>
      <c r="F170" s="66" t="s">
        <v>1406</v>
      </c>
      <c r="G170" s="82" t="s">
        <v>1411</v>
      </c>
    </row>
    <row r="171" spans="2:12" ht="18" customHeight="1">
      <c r="B171" s="114" t="s">
        <v>2</v>
      </c>
      <c r="C171" s="114"/>
      <c r="D171" s="82" t="s">
        <v>1373</v>
      </c>
      <c r="E171" s="94" t="s">
        <v>42</v>
      </c>
      <c r="F171" s="66" t="s">
        <v>1406</v>
      </c>
      <c r="G171" s="82" t="s">
        <v>1374</v>
      </c>
    </row>
    <row r="172" spans="2:12" ht="18" customHeight="1">
      <c r="B172" s="114" t="s">
        <v>1483</v>
      </c>
      <c r="C172" s="114"/>
      <c r="D172" s="82" t="s">
        <v>121</v>
      </c>
      <c r="E172" s="94" t="s">
        <v>85</v>
      </c>
      <c r="F172" s="66" t="s">
        <v>1406</v>
      </c>
      <c r="G172" s="82" t="s">
        <v>1409</v>
      </c>
    </row>
    <row r="173" spans="2:12" ht="18" customHeight="1">
      <c r="B173" s="114" t="s">
        <v>2</v>
      </c>
      <c r="C173" s="114"/>
      <c r="D173" s="82" t="s">
        <v>121</v>
      </c>
      <c r="E173" s="94" t="s">
        <v>87</v>
      </c>
      <c r="F173" s="66" t="s">
        <v>1406</v>
      </c>
      <c r="G173" s="82" t="s">
        <v>1409</v>
      </c>
    </row>
    <row r="174" spans="2:12" ht="18" customHeight="1">
      <c r="B174" s="114" t="s">
        <v>1</v>
      </c>
      <c r="C174" s="114"/>
      <c r="D174" s="82" t="s">
        <v>56</v>
      </c>
      <c r="E174" s="94" t="s">
        <v>57</v>
      </c>
      <c r="F174" s="66" t="s">
        <v>1406</v>
      </c>
      <c r="G174" s="82" t="s">
        <v>1408</v>
      </c>
    </row>
    <row r="175" spans="2:12" ht="18" customHeight="1">
      <c r="B175" s="114" t="s">
        <v>4</v>
      </c>
      <c r="C175" s="114"/>
      <c r="D175" s="82" t="s">
        <v>886</v>
      </c>
      <c r="E175" s="94" t="s">
        <v>888</v>
      </c>
      <c r="F175" s="66" t="s">
        <v>1406</v>
      </c>
      <c r="G175" s="82" t="s">
        <v>1382</v>
      </c>
    </row>
    <row r="176" spans="2:12" ht="18" customHeight="1">
      <c r="B176" s="114" t="s">
        <v>1487</v>
      </c>
      <c r="C176" s="114"/>
      <c r="D176" s="82" t="s">
        <v>1311</v>
      </c>
      <c r="E176" s="94" t="s">
        <v>125</v>
      </c>
      <c r="F176" s="66" t="s">
        <v>1406</v>
      </c>
      <c r="G176" s="82" t="s">
        <v>1378</v>
      </c>
    </row>
    <row r="177" spans="2:7" ht="18" customHeight="1">
      <c r="B177" s="114" t="s">
        <v>1486</v>
      </c>
      <c r="C177" s="114"/>
      <c r="D177" s="82" t="s">
        <v>1314</v>
      </c>
      <c r="E177" s="94" t="s">
        <v>741</v>
      </c>
      <c r="F177" s="66" t="s">
        <v>1406</v>
      </c>
      <c r="G177" s="82" t="s">
        <v>1407</v>
      </c>
    </row>
    <row r="178" spans="2:7" ht="18" customHeight="1">
      <c r="B178" s="114" t="s">
        <v>6</v>
      </c>
      <c r="C178" s="114"/>
      <c r="D178" s="82" t="s">
        <v>854</v>
      </c>
      <c r="E178" s="94" t="s">
        <v>129</v>
      </c>
      <c r="F178" s="66" t="s">
        <v>1413</v>
      </c>
      <c r="G178" s="82" t="s">
        <v>1332</v>
      </c>
    </row>
    <row r="179" spans="2:7" ht="18" customHeight="1">
      <c r="B179" s="114" t="s">
        <v>1492</v>
      </c>
      <c r="C179" s="114"/>
      <c r="D179" s="82" t="s">
        <v>854</v>
      </c>
      <c r="E179" s="94" t="s">
        <v>140</v>
      </c>
      <c r="F179" s="66" t="s">
        <v>1413</v>
      </c>
      <c r="G179" s="82" t="s">
        <v>1332</v>
      </c>
    </row>
    <row r="180" spans="2:7" ht="18" customHeight="1">
      <c r="B180" s="114" t="s">
        <v>6</v>
      </c>
      <c r="C180" s="114"/>
      <c r="D180" s="82" t="s">
        <v>854</v>
      </c>
      <c r="E180" s="94" t="s">
        <v>116</v>
      </c>
      <c r="F180" s="66" t="s">
        <v>1413</v>
      </c>
      <c r="G180" s="82" t="s">
        <v>1332</v>
      </c>
    </row>
    <row r="181" spans="2:7" ht="18" customHeight="1">
      <c r="B181" s="114" t="s">
        <v>6</v>
      </c>
      <c r="C181" s="114"/>
      <c r="D181" s="82" t="s">
        <v>854</v>
      </c>
      <c r="E181" s="94" t="s">
        <v>125</v>
      </c>
      <c r="F181" s="66" t="s">
        <v>1413</v>
      </c>
      <c r="G181" s="82" t="s">
        <v>1332</v>
      </c>
    </row>
    <row r="182" spans="2:7" ht="18" customHeight="1">
      <c r="B182" s="114" t="s">
        <v>6</v>
      </c>
      <c r="C182" s="114"/>
      <c r="D182" s="82" t="s">
        <v>854</v>
      </c>
      <c r="E182" s="94" t="s">
        <v>93</v>
      </c>
      <c r="F182" s="66" t="s">
        <v>1413</v>
      </c>
      <c r="G182" s="82" t="s">
        <v>1332</v>
      </c>
    </row>
    <row r="183" spans="2:7" ht="18" customHeight="1">
      <c r="B183" s="114" t="s">
        <v>1492</v>
      </c>
      <c r="C183" s="114"/>
      <c r="D183" s="82" t="s">
        <v>854</v>
      </c>
      <c r="E183" s="94" t="s">
        <v>118</v>
      </c>
      <c r="F183" s="66" t="s">
        <v>1413</v>
      </c>
      <c r="G183" s="82" t="s">
        <v>1332</v>
      </c>
    </row>
    <row r="184" spans="2:7" ht="18" customHeight="1">
      <c r="B184" s="114" t="s">
        <v>1492</v>
      </c>
      <c r="C184" s="114"/>
      <c r="D184" s="82" t="s">
        <v>854</v>
      </c>
      <c r="E184" s="94" t="s">
        <v>87</v>
      </c>
      <c r="F184" s="66" t="s">
        <v>1413</v>
      </c>
      <c r="G184" s="82" t="s">
        <v>1332</v>
      </c>
    </row>
    <row r="185" spans="2:7" ht="18" customHeight="1">
      <c r="B185" s="114" t="s">
        <v>1492</v>
      </c>
      <c r="C185" s="114"/>
      <c r="D185" s="82" t="s">
        <v>854</v>
      </c>
      <c r="E185" s="94" t="s">
        <v>336</v>
      </c>
      <c r="F185" s="66" t="s">
        <v>1413</v>
      </c>
      <c r="G185" s="82" t="s">
        <v>1332</v>
      </c>
    </row>
    <row r="186" spans="2:7" ht="18" customHeight="1">
      <c r="B186" s="114" t="s">
        <v>1486</v>
      </c>
      <c r="C186" s="114"/>
      <c r="D186" s="82" t="s">
        <v>890</v>
      </c>
      <c r="E186" s="94" t="s">
        <v>1415</v>
      </c>
      <c r="F186" s="66" t="s">
        <v>1413</v>
      </c>
      <c r="G186" s="82" t="s">
        <v>1416</v>
      </c>
    </row>
    <row r="187" spans="2:7" ht="18" customHeight="1">
      <c r="B187" s="114" t="s">
        <v>1486</v>
      </c>
      <c r="C187" s="114"/>
      <c r="D187" s="82" t="s">
        <v>891</v>
      </c>
      <c r="E187" s="94" t="s">
        <v>892</v>
      </c>
      <c r="F187" s="66" t="s">
        <v>1413</v>
      </c>
      <c r="G187" s="82" t="s">
        <v>1381</v>
      </c>
    </row>
    <row r="188" spans="2:7" ht="18" customHeight="1">
      <c r="B188" s="114" t="s">
        <v>1482</v>
      </c>
      <c r="C188" s="114"/>
      <c r="D188" s="82" t="s">
        <v>1480</v>
      </c>
      <c r="E188" s="94" t="s">
        <v>727</v>
      </c>
      <c r="F188" s="66" t="s">
        <v>1413</v>
      </c>
      <c r="G188" s="82" t="s">
        <v>1414</v>
      </c>
    </row>
    <row r="189" spans="2:7" ht="18" customHeight="1">
      <c r="B189" s="114" t="s">
        <v>1</v>
      </c>
      <c r="C189" s="114"/>
      <c r="D189" s="82" t="s">
        <v>1474</v>
      </c>
      <c r="E189" s="94" t="s">
        <v>93</v>
      </c>
      <c r="F189" s="66" t="s">
        <v>1413</v>
      </c>
      <c r="G189" s="82" t="s">
        <v>1475</v>
      </c>
    </row>
    <row r="190" spans="2:7" ht="18" customHeight="1">
      <c r="B190" s="114" t="s">
        <v>1</v>
      </c>
      <c r="C190" s="114"/>
      <c r="D190" s="82" t="s">
        <v>1315</v>
      </c>
      <c r="E190" s="94" t="s">
        <v>1481</v>
      </c>
      <c r="F190" s="66" t="s">
        <v>1413</v>
      </c>
      <c r="G190" s="82" t="s">
        <v>1419</v>
      </c>
    </row>
    <row r="191" spans="2:7" ht="18" customHeight="1">
      <c r="B191" s="114" t="s">
        <v>2</v>
      </c>
      <c r="C191" s="114"/>
      <c r="D191" s="82" t="s">
        <v>1420</v>
      </c>
      <c r="E191" s="94" t="s">
        <v>212</v>
      </c>
      <c r="F191" s="66" t="s">
        <v>1413</v>
      </c>
      <c r="G191" s="82" t="s">
        <v>1421</v>
      </c>
    </row>
    <row r="192" spans="2:7" ht="18" customHeight="1">
      <c r="B192" s="114" t="s">
        <v>2</v>
      </c>
      <c r="C192" s="114"/>
      <c r="D192" s="82" t="s">
        <v>1420</v>
      </c>
      <c r="E192" s="94" t="s">
        <v>288</v>
      </c>
      <c r="F192" s="66" t="s">
        <v>1413</v>
      </c>
      <c r="G192" s="82" t="s">
        <v>1421</v>
      </c>
    </row>
    <row r="193" spans="2:7" ht="18" customHeight="1">
      <c r="B193" s="114" t="s">
        <v>2</v>
      </c>
      <c r="C193" s="114"/>
      <c r="D193" s="82" t="s">
        <v>1420</v>
      </c>
      <c r="E193" s="94" t="s">
        <v>499</v>
      </c>
      <c r="F193" s="66" t="s">
        <v>1413</v>
      </c>
      <c r="G193" s="82" t="s">
        <v>1421</v>
      </c>
    </row>
    <row r="194" spans="2:7" ht="18" customHeight="1">
      <c r="B194" s="114" t="s">
        <v>1</v>
      </c>
      <c r="C194" s="114"/>
      <c r="D194" s="82" t="s">
        <v>41</v>
      </c>
      <c r="E194" s="94" t="s">
        <v>59</v>
      </c>
      <c r="F194" s="66" t="s">
        <v>1413</v>
      </c>
      <c r="G194" s="82" t="s">
        <v>1384</v>
      </c>
    </row>
    <row r="195" spans="2:7" ht="18" customHeight="1">
      <c r="B195" s="114" t="s">
        <v>1486</v>
      </c>
      <c r="C195" s="114"/>
      <c r="D195" s="82" t="s">
        <v>186</v>
      </c>
      <c r="E195" s="94" t="s">
        <v>187</v>
      </c>
      <c r="F195" s="66" t="s">
        <v>1413</v>
      </c>
      <c r="G195" s="82" t="s">
        <v>1418</v>
      </c>
    </row>
  </sheetData>
  <mergeCells count="151">
    <mergeCell ref="B195:C195"/>
    <mergeCell ref="B180:C180"/>
    <mergeCell ref="B181:C181"/>
    <mergeCell ref="B182:C182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68:C168"/>
    <mergeCell ref="B169:C169"/>
    <mergeCell ref="B170:C170"/>
    <mergeCell ref="B171:C171"/>
    <mergeCell ref="B145:C145"/>
    <mergeCell ref="B146:C146"/>
    <mergeCell ref="B147:C147"/>
    <mergeCell ref="B154:C154"/>
    <mergeCell ref="B148:C148"/>
    <mergeCell ref="B149:C149"/>
    <mergeCell ref="B150:C150"/>
    <mergeCell ref="B151:C151"/>
    <mergeCell ref="B152:C152"/>
    <mergeCell ref="B153:C153"/>
    <mergeCell ref="B166:C166"/>
    <mergeCell ref="B167:C167"/>
    <mergeCell ref="B160:C160"/>
    <mergeCell ref="B161:C161"/>
    <mergeCell ref="B162:C162"/>
    <mergeCell ref="B163:C163"/>
    <mergeCell ref="B164:C164"/>
    <mergeCell ref="B165:C165"/>
    <mergeCell ref="B158:C158"/>
    <mergeCell ref="B159:C159"/>
    <mergeCell ref="B132:C132"/>
    <mergeCell ref="B133:C133"/>
    <mergeCell ref="B134:C134"/>
    <mergeCell ref="B135:C135"/>
    <mergeCell ref="B155:C155"/>
    <mergeCell ref="B156:C156"/>
    <mergeCell ref="B157:C157"/>
    <mergeCell ref="B136:C136"/>
    <mergeCell ref="B142:C142"/>
    <mergeCell ref="B143:C143"/>
    <mergeCell ref="B144:C144"/>
    <mergeCell ref="B113:C113"/>
    <mergeCell ref="B114:C114"/>
    <mergeCell ref="B115:C115"/>
    <mergeCell ref="B116:C116"/>
    <mergeCell ref="B137:C137"/>
    <mergeCell ref="B138:C138"/>
    <mergeCell ref="B139:C139"/>
    <mergeCell ref="B140:C140"/>
    <mergeCell ref="B141:C141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85:C85"/>
    <mergeCell ref="B86:C86"/>
    <mergeCell ref="B87:C87"/>
    <mergeCell ref="B88:C88"/>
    <mergeCell ref="B89:C89"/>
    <mergeCell ref="B90:C90"/>
    <mergeCell ref="B92:C92"/>
    <mergeCell ref="B93:C93"/>
    <mergeCell ref="B94:C94"/>
    <mergeCell ref="B91:C91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43:C43"/>
    <mergeCell ref="B44:C44"/>
    <mergeCell ref="B45:C45"/>
    <mergeCell ref="B46:C46"/>
    <mergeCell ref="B47:C47"/>
    <mergeCell ref="B48:C48"/>
    <mergeCell ref="B49:C49"/>
    <mergeCell ref="B50:C50"/>
    <mergeCell ref="B52:C52"/>
    <mergeCell ref="B53:C53"/>
    <mergeCell ref="B54:C54"/>
    <mergeCell ref="B56:C56"/>
    <mergeCell ref="B55:C55"/>
    <mergeCell ref="B51:C51"/>
    <mergeCell ref="B65:C65"/>
    <mergeCell ref="B63:C63"/>
    <mergeCell ref="B66:C66"/>
    <mergeCell ref="B67:C67"/>
    <mergeCell ref="B72:C72"/>
    <mergeCell ref="B73:C73"/>
    <mergeCell ref="B74:C74"/>
    <mergeCell ref="B75:C75"/>
    <mergeCell ref="B68:C68"/>
    <mergeCell ref="B57:C57"/>
    <mergeCell ref="B58:C58"/>
    <mergeCell ref="B59:C59"/>
    <mergeCell ref="B60:C60"/>
    <mergeCell ref="B69:C69"/>
    <mergeCell ref="B70:C70"/>
    <mergeCell ref="B64:C64"/>
    <mergeCell ref="B71:C71"/>
  </mergeCells>
  <phoneticPr fontId="4" type="noConversion"/>
  <pageMargins left="0.7" right="0.7" top="0.75" bottom="0.75" header="0.3" footer="0.3"/>
  <pageSetup paperSize="9" scale="69" fitToHeight="0" orientation="landscape" r:id="rId1"/>
  <rowBreaks count="1" manualBreakCount="1">
    <brk id="155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1"/>
  <sheetViews>
    <sheetView topLeftCell="A289" workbookViewId="0">
      <selection activeCell="A302" sqref="A302:F321"/>
    </sheetView>
  </sheetViews>
  <sheetFormatPr defaultRowHeight="16.5"/>
  <cols>
    <col min="1" max="1" width="18.875" bestFit="1" customWidth="1"/>
    <col min="2" max="2" width="13.625" bestFit="1" customWidth="1"/>
    <col min="3" max="3" width="37" bestFit="1" customWidth="1"/>
    <col min="4" max="4" width="26.75" bestFit="1" customWidth="1"/>
    <col min="5" max="5" width="15.25" bestFit="1" customWidth="1"/>
    <col min="6" max="6" width="114.5" bestFit="1" customWidth="1"/>
  </cols>
  <sheetData>
    <row r="1" spans="1:6">
      <c r="A1" t="s">
        <v>16</v>
      </c>
      <c r="B1" t="s">
        <v>17</v>
      </c>
      <c r="C1" t="s">
        <v>19</v>
      </c>
      <c r="D1" t="s">
        <v>20</v>
      </c>
      <c r="E1" t="s">
        <v>21</v>
      </c>
      <c r="F1" t="s">
        <v>18</v>
      </c>
    </row>
    <row r="2" spans="1:6">
      <c r="A2" t="s">
        <v>22</v>
      </c>
      <c r="B2">
        <v>11680</v>
      </c>
      <c r="C2" t="s">
        <v>24</v>
      </c>
      <c r="D2" t="s">
        <v>25</v>
      </c>
      <c r="E2">
        <v>69</v>
      </c>
      <c r="F2" t="s">
        <v>23</v>
      </c>
    </row>
    <row r="3" spans="1:6">
      <c r="A3" t="s">
        <v>26</v>
      </c>
      <c r="B3">
        <v>11470</v>
      </c>
      <c r="C3" t="s">
        <v>28</v>
      </c>
      <c r="E3">
        <v>69</v>
      </c>
      <c r="F3" t="s">
        <v>27</v>
      </c>
    </row>
    <row r="4" spans="1:6">
      <c r="A4" t="s">
        <v>29</v>
      </c>
      <c r="B4">
        <v>11680</v>
      </c>
      <c r="C4" t="s">
        <v>24</v>
      </c>
      <c r="D4" t="s">
        <v>31</v>
      </c>
      <c r="E4">
        <v>66</v>
      </c>
      <c r="F4" t="s">
        <v>30</v>
      </c>
    </row>
    <row r="5" spans="1:6">
      <c r="A5" t="s">
        <v>32</v>
      </c>
      <c r="B5">
        <v>11560</v>
      </c>
      <c r="C5" t="s">
        <v>34</v>
      </c>
      <c r="E5">
        <v>60</v>
      </c>
      <c r="F5" t="s">
        <v>33</v>
      </c>
    </row>
    <row r="6" spans="1:6">
      <c r="A6" t="s">
        <v>35</v>
      </c>
      <c r="B6">
        <v>11680</v>
      </c>
      <c r="C6" t="s">
        <v>24</v>
      </c>
      <c r="D6" t="s">
        <v>36</v>
      </c>
      <c r="E6">
        <v>59</v>
      </c>
      <c r="F6" t="s">
        <v>30</v>
      </c>
    </row>
    <row r="7" spans="1:6">
      <c r="A7" t="s">
        <v>37</v>
      </c>
      <c r="B7">
        <v>11680</v>
      </c>
      <c r="C7" t="s">
        <v>24</v>
      </c>
      <c r="D7" t="s">
        <v>38</v>
      </c>
      <c r="E7">
        <v>59</v>
      </c>
      <c r="F7" t="s">
        <v>30</v>
      </c>
    </row>
    <row r="8" spans="1:6">
      <c r="A8" t="s">
        <v>39</v>
      </c>
      <c r="B8">
        <v>11215</v>
      </c>
      <c r="C8" t="s">
        <v>41</v>
      </c>
      <c r="D8" t="s">
        <v>42</v>
      </c>
      <c r="E8">
        <v>58</v>
      </c>
      <c r="F8" t="s">
        <v>40</v>
      </c>
    </row>
    <row r="9" spans="1:6">
      <c r="A9" t="s">
        <v>43</v>
      </c>
      <c r="B9">
        <v>11680</v>
      </c>
      <c r="C9" t="s">
        <v>24</v>
      </c>
      <c r="D9" t="s">
        <v>45</v>
      </c>
      <c r="E9">
        <v>55</v>
      </c>
      <c r="F9" t="s">
        <v>44</v>
      </c>
    </row>
    <row r="10" spans="1:6">
      <c r="A10" t="s">
        <v>46</v>
      </c>
      <c r="B10">
        <v>11680</v>
      </c>
      <c r="C10" t="s">
        <v>24</v>
      </c>
      <c r="D10" t="s">
        <v>47</v>
      </c>
      <c r="E10">
        <v>55</v>
      </c>
      <c r="F10" t="s">
        <v>44</v>
      </c>
    </row>
    <row r="11" spans="1:6">
      <c r="A11" t="s">
        <v>48</v>
      </c>
      <c r="B11">
        <v>11680</v>
      </c>
      <c r="C11" t="s">
        <v>50</v>
      </c>
      <c r="E11">
        <v>54</v>
      </c>
      <c r="F11" t="s">
        <v>49</v>
      </c>
    </row>
    <row r="12" spans="1:6">
      <c r="A12" t="s">
        <v>51</v>
      </c>
      <c r="B12">
        <v>11680</v>
      </c>
      <c r="C12" t="s">
        <v>53</v>
      </c>
      <c r="D12" t="s">
        <v>38</v>
      </c>
      <c r="E12">
        <v>51</v>
      </c>
      <c r="F12" t="s">
        <v>52</v>
      </c>
    </row>
    <row r="13" spans="1:6">
      <c r="A13" t="s">
        <v>54</v>
      </c>
      <c r="B13">
        <v>11530</v>
      </c>
      <c r="C13" t="s">
        <v>56</v>
      </c>
      <c r="D13" t="s">
        <v>57</v>
      </c>
      <c r="E13">
        <v>51</v>
      </c>
      <c r="F13" t="s">
        <v>55</v>
      </c>
    </row>
    <row r="14" spans="1:6">
      <c r="A14" t="s">
        <v>58</v>
      </c>
      <c r="B14">
        <v>11215</v>
      </c>
      <c r="C14" t="s">
        <v>41</v>
      </c>
      <c r="D14" t="s">
        <v>59</v>
      </c>
      <c r="E14">
        <v>50</v>
      </c>
      <c r="F14" t="s">
        <v>40</v>
      </c>
    </row>
    <row r="15" spans="1:6">
      <c r="A15" t="s">
        <v>60</v>
      </c>
      <c r="B15">
        <v>11215</v>
      </c>
      <c r="C15" t="s">
        <v>62</v>
      </c>
      <c r="D15" t="s">
        <v>63</v>
      </c>
      <c r="E15">
        <v>50</v>
      </c>
      <c r="F15" t="s">
        <v>61</v>
      </c>
    </row>
    <row r="16" spans="1:6">
      <c r="A16" t="s">
        <v>64</v>
      </c>
      <c r="B16">
        <v>11470</v>
      </c>
      <c r="C16" t="s">
        <v>66</v>
      </c>
      <c r="E16">
        <v>49</v>
      </c>
      <c r="F16" t="s">
        <v>65</v>
      </c>
    </row>
    <row r="17" spans="1:6">
      <c r="A17" t="s">
        <v>67</v>
      </c>
      <c r="B17">
        <v>11590</v>
      </c>
      <c r="C17" t="s">
        <v>69</v>
      </c>
      <c r="E17">
        <v>49</v>
      </c>
      <c r="F17" t="s">
        <v>68</v>
      </c>
    </row>
    <row r="18" spans="1:6">
      <c r="A18" t="s">
        <v>70</v>
      </c>
      <c r="B18">
        <v>11470</v>
      </c>
      <c r="C18" t="s">
        <v>72</v>
      </c>
      <c r="E18">
        <v>48</v>
      </c>
      <c r="F18" t="s">
        <v>71</v>
      </c>
    </row>
    <row r="19" spans="1:6">
      <c r="A19" t="s">
        <v>73</v>
      </c>
      <c r="B19">
        <v>11710</v>
      </c>
      <c r="C19" t="s">
        <v>75</v>
      </c>
      <c r="E19">
        <v>46</v>
      </c>
      <c r="F19" t="s">
        <v>74</v>
      </c>
    </row>
    <row r="20" spans="1:6">
      <c r="A20" t="s">
        <v>76</v>
      </c>
      <c r="B20">
        <v>11680</v>
      </c>
      <c r="C20" t="s">
        <v>78</v>
      </c>
      <c r="D20" t="s">
        <v>79</v>
      </c>
      <c r="E20">
        <v>46</v>
      </c>
      <c r="F20" t="s">
        <v>77</v>
      </c>
    </row>
    <row r="21" spans="1:6">
      <c r="A21" t="s">
        <v>80</v>
      </c>
      <c r="B21">
        <v>11680</v>
      </c>
      <c r="C21" t="s">
        <v>78</v>
      </c>
      <c r="D21" t="s">
        <v>81</v>
      </c>
      <c r="E21">
        <v>46</v>
      </c>
      <c r="F21" t="s">
        <v>77</v>
      </c>
    </row>
    <row r="22" spans="1:6">
      <c r="A22" t="s">
        <v>82</v>
      </c>
      <c r="B22">
        <v>26350</v>
      </c>
      <c r="C22" t="s">
        <v>84</v>
      </c>
      <c r="D22" t="s">
        <v>85</v>
      </c>
      <c r="E22">
        <v>80</v>
      </c>
      <c r="F22" t="s">
        <v>83</v>
      </c>
    </row>
    <row r="23" spans="1:6">
      <c r="A23" t="s">
        <v>86</v>
      </c>
      <c r="B23">
        <v>26350</v>
      </c>
      <c r="C23" t="s">
        <v>84</v>
      </c>
      <c r="D23" t="s">
        <v>87</v>
      </c>
      <c r="E23">
        <v>75</v>
      </c>
      <c r="F23" t="s">
        <v>83</v>
      </c>
    </row>
    <row r="24" spans="1:6">
      <c r="A24" t="s">
        <v>88</v>
      </c>
      <c r="B24">
        <v>26350</v>
      </c>
      <c r="C24" t="s">
        <v>90</v>
      </c>
      <c r="D24" t="s">
        <v>91</v>
      </c>
      <c r="E24">
        <v>72</v>
      </c>
      <c r="F24" t="s">
        <v>89</v>
      </c>
    </row>
    <row r="25" spans="1:6">
      <c r="A25" t="s">
        <v>92</v>
      </c>
      <c r="B25">
        <v>26350</v>
      </c>
      <c r="C25" t="s">
        <v>84</v>
      </c>
      <c r="D25" t="s">
        <v>93</v>
      </c>
      <c r="E25">
        <v>70</v>
      </c>
      <c r="F25" t="s">
        <v>83</v>
      </c>
    </row>
    <row r="26" spans="1:6">
      <c r="A26" t="s">
        <v>94</v>
      </c>
      <c r="B26">
        <v>26350</v>
      </c>
      <c r="C26" t="s">
        <v>90</v>
      </c>
      <c r="D26" t="s">
        <v>95</v>
      </c>
      <c r="E26">
        <v>66</v>
      </c>
      <c r="F26" t="s">
        <v>89</v>
      </c>
    </row>
    <row r="27" spans="1:6">
      <c r="A27" t="s">
        <v>96</v>
      </c>
      <c r="B27">
        <v>26350</v>
      </c>
      <c r="C27" t="s">
        <v>98</v>
      </c>
      <c r="D27" t="s">
        <v>99</v>
      </c>
      <c r="E27">
        <v>60</v>
      </c>
      <c r="F27" t="s">
        <v>97</v>
      </c>
    </row>
    <row r="28" spans="1:6">
      <c r="A28" t="s">
        <v>100</v>
      </c>
      <c r="B28">
        <v>26230</v>
      </c>
      <c r="C28" t="s">
        <v>102</v>
      </c>
      <c r="D28" t="s">
        <v>42</v>
      </c>
      <c r="E28">
        <v>58</v>
      </c>
      <c r="F28" t="s">
        <v>101</v>
      </c>
    </row>
    <row r="29" spans="1:6">
      <c r="A29" t="s">
        <v>103</v>
      </c>
      <c r="B29">
        <v>26350</v>
      </c>
      <c r="C29" t="s">
        <v>98</v>
      </c>
      <c r="D29" t="s">
        <v>59</v>
      </c>
      <c r="E29">
        <v>52</v>
      </c>
      <c r="F29" t="s">
        <v>97</v>
      </c>
    </row>
    <row r="30" spans="1:6">
      <c r="A30" t="s">
        <v>104</v>
      </c>
      <c r="B30">
        <v>26260</v>
      </c>
      <c r="C30" t="s">
        <v>106</v>
      </c>
      <c r="D30" t="s">
        <v>85</v>
      </c>
      <c r="E30">
        <v>52</v>
      </c>
      <c r="F30" t="s">
        <v>105</v>
      </c>
    </row>
    <row r="31" spans="1:6">
      <c r="A31" t="s">
        <v>107</v>
      </c>
      <c r="B31">
        <v>26350</v>
      </c>
      <c r="C31" t="s">
        <v>109</v>
      </c>
      <c r="D31" t="s">
        <v>110</v>
      </c>
      <c r="E31">
        <v>51</v>
      </c>
      <c r="F31" t="s">
        <v>108</v>
      </c>
    </row>
    <row r="32" spans="1:6">
      <c r="A32" t="s">
        <v>111</v>
      </c>
      <c r="B32">
        <v>26350</v>
      </c>
      <c r="C32" t="s">
        <v>109</v>
      </c>
      <c r="D32" t="s">
        <v>112</v>
      </c>
      <c r="E32">
        <v>51</v>
      </c>
      <c r="F32" t="s">
        <v>108</v>
      </c>
    </row>
    <row r="33" spans="1:6">
      <c r="A33" t="s">
        <v>113</v>
      </c>
      <c r="B33">
        <v>26350</v>
      </c>
      <c r="C33" t="s">
        <v>109</v>
      </c>
      <c r="D33" t="s">
        <v>114</v>
      </c>
      <c r="E33">
        <v>51</v>
      </c>
      <c r="F33" t="s">
        <v>108</v>
      </c>
    </row>
    <row r="34" spans="1:6">
      <c r="A34" t="s">
        <v>115</v>
      </c>
      <c r="B34">
        <v>26350</v>
      </c>
      <c r="C34" t="s">
        <v>109</v>
      </c>
      <c r="D34" t="s">
        <v>116</v>
      </c>
      <c r="E34">
        <v>51</v>
      </c>
      <c r="F34" t="s">
        <v>108</v>
      </c>
    </row>
    <row r="35" spans="1:6">
      <c r="A35" t="s">
        <v>117</v>
      </c>
      <c r="B35">
        <v>26350</v>
      </c>
      <c r="C35" t="s">
        <v>109</v>
      </c>
      <c r="D35" t="s">
        <v>118</v>
      </c>
      <c r="E35">
        <v>51</v>
      </c>
      <c r="F35" t="s">
        <v>108</v>
      </c>
    </row>
    <row r="36" spans="1:6">
      <c r="A36" t="s">
        <v>119</v>
      </c>
      <c r="B36">
        <v>26350</v>
      </c>
      <c r="C36" t="s">
        <v>121</v>
      </c>
      <c r="D36" t="s">
        <v>87</v>
      </c>
      <c r="E36">
        <v>51</v>
      </c>
      <c r="F36" t="s">
        <v>120</v>
      </c>
    </row>
    <row r="37" spans="1:6">
      <c r="A37" t="s">
        <v>122</v>
      </c>
      <c r="B37">
        <v>26350</v>
      </c>
      <c r="C37" t="s">
        <v>121</v>
      </c>
      <c r="D37" t="s">
        <v>85</v>
      </c>
      <c r="E37">
        <v>51</v>
      </c>
      <c r="F37" t="s">
        <v>120</v>
      </c>
    </row>
    <row r="38" spans="1:6">
      <c r="A38" t="s">
        <v>123</v>
      </c>
      <c r="B38">
        <v>26350</v>
      </c>
      <c r="C38" t="s">
        <v>109</v>
      </c>
      <c r="D38" t="s">
        <v>87</v>
      </c>
      <c r="E38">
        <v>51</v>
      </c>
      <c r="F38" t="s">
        <v>108</v>
      </c>
    </row>
    <row r="39" spans="1:6">
      <c r="A39" t="s">
        <v>124</v>
      </c>
      <c r="B39">
        <v>26350</v>
      </c>
      <c r="C39" t="s">
        <v>109</v>
      </c>
      <c r="D39" t="s">
        <v>125</v>
      </c>
      <c r="E39">
        <v>51</v>
      </c>
      <c r="F39" t="s">
        <v>108</v>
      </c>
    </row>
    <row r="40" spans="1:6">
      <c r="A40" t="s">
        <v>126</v>
      </c>
      <c r="B40">
        <v>26350</v>
      </c>
      <c r="C40" t="s">
        <v>109</v>
      </c>
      <c r="D40" t="s">
        <v>127</v>
      </c>
      <c r="E40">
        <v>51</v>
      </c>
      <c r="F40" t="s">
        <v>108</v>
      </c>
    </row>
    <row r="41" spans="1:6">
      <c r="A41" t="s">
        <v>128</v>
      </c>
      <c r="B41">
        <v>26350</v>
      </c>
      <c r="C41" t="s">
        <v>109</v>
      </c>
      <c r="D41" t="s">
        <v>129</v>
      </c>
      <c r="E41">
        <v>51</v>
      </c>
      <c r="F41" t="s">
        <v>108</v>
      </c>
    </row>
    <row r="42" spans="1:6">
      <c r="A42" t="s">
        <v>130</v>
      </c>
      <c r="B42">
        <v>27260</v>
      </c>
      <c r="C42" t="s">
        <v>132</v>
      </c>
      <c r="D42">
        <v>103</v>
      </c>
      <c r="E42">
        <v>57</v>
      </c>
      <c r="F42" t="s">
        <v>131</v>
      </c>
    </row>
    <row r="43" spans="1:6">
      <c r="A43" t="s">
        <v>133</v>
      </c>
      <c r="B43">
        <v>27260</v>
      </c>
      <c r="C43" t="s">
        <v>132</v>
      </c>
      <c r="D43">
        <v>105</v>
      </c>
      <c r="E43">
        <v>57</v>
      </c>
      <c r="F43" t="s">
        <v>131</v>
      </c>
    </row>
    <row r="44" spans="1:6">
      <c r="A44" t="s">
        <v>134</v>
      </c>
      <c r="B44">
        <v>27260</v>
      </c>
      <c r="C44" t="s">
        <v>136</v>
      </c>
      <c r="D44" t="s">
        <v>129</v>
      </c>
      <c r="E44">
        <v>54</v>
      </c>
      <c r="F44" t="s">
        <v>135</v>
      </c>
    </row>
    <row r="45" spans="1:6">
      <c r="A45" t="s">
        <v>137</v>
      </c>
      <c r="B45">
        <v>27260</v>
      </c>
      <c r="C45" t="s">
        <v>136</v>
      </c>
      <c r="D45" t="s">
        <v>118</v>
      </c>
      <c r="E45">
        <v>54</v>
      </c>
      <c r="F45" t="s">
        <v>135</v>
      </c>
    </row>
    <row r="46" spans="1:6">
      <c r="A46" t="s">
        <v>138</v>
      </c>
      <c r="B46">
        <v>27260</v>
      </c>
      <c r="C46" t="s">
        <v>136</v>
      </c>
      <c r="D46" t="s">
        <v>110</v>
      </c>
      <c r="E46">
        <v>53</v>
      </c>
      <c r="F46" t="s">
        <v>135</v>
      </c>
    </row>
    <row r="47" spans="1:6">
      <c r="A47" t="s">
        <v>139</v>
      </c>
      <c r="B47">
        <v>27260</v>
      </c>
      <c r="C47" t="s">
        <v>136</v>
      </c>
      <c r="D47" t="s">
        <v>140</v>
      </c>
      <c r="E47">
        <v>53</v>
      </c>
      <c r="F47" t="s">
        <v>135</v>
      </c>
    </row>
    <row r="48" spans="1:6">
      <c r="A48" t="s">
        <v>141</v>
      </c>
      <c r="B48">
        <v>27260</v>
      </c>
      <c r="C48" t="s">
        <v>136</v>
      </c>
      <c r="D48" t="s">
        <v>142</v>
      </c>
      <c r="E48">
        <v>52</v>
      </c>
      <c r="F48" t="s">
        <v>135</v>
      </c>
    </row>
    <row r="49" spans="1:6">
      <c r="A49" t="s">
        <v>143</v>
      </c>
      <c r="B49">
        <v>27260</v>
      </c>
      <c r="C49" t="s">
        <v>136</v>
      </c>
      <c r="D49" t="s">
        <v>125</v>
      </c>
      <c r="E49">
        <v>52</v>
      </c>
      <c r="F49" t="s">
        <v>135</v>
      </c>
    </row>
    <row r="50" spans="1:6">
      <c r="A50" t="s">
        <v>144</v>
      </c>
      <c r="B50">
        <v>27260</v>
      </c>
      <c r="C50" t="s">
        <v>136</v>
      </c>
      <c r="D50" t="s">
        <v>93</v>
      </c>
      <c r="E50">
        <v>49</v>
      </c>
      <c r="F50" t="s">
        <v>135</v>
      </c>
    </row>
    <row r="51" spans="1:6">
      <c r="A51" t="s">
        <v>145</v>
      </c>
      <c r="B51">
        <v>27260</v>
      </c>
      <c r="C51" t="s">
        <v>136</v>
      </c>
      <c r="D51" t="s">
        <v>87</v>
      </c>
      <c r="E51">
        <v>48</v>
      </c>
      <c r="F51" t="s">
        <v>135</v>
      </c>
    </row>
    <row r="52" spans="1:6">
      <c r="A52" t="s">
        <v>146</v>
      </c>
      <c r="B52">
        <v>27260</v>
      </c>
      <c r="C52" t="s">
        <v>136</v>
      </c>
      <c r="D52" t="s">
        <v>85</v>
      </c>
      <c r="E52">
        <v>48</v>
      </c>
      <c r="F52" t="s">
        <v>135</v>
      </c>
    </row>
    <row r="53" spans="1:6">
      <c r="A53" t="s">
        <v>147</v>
      </c>
      <c r="B53">
        <v>27290</v>
      </c>
      <c r="C53" t="s">
        <v>149</v>
      </c>
      <c r="D53" t="s">
        <v>140</v>
      </c>
      <c r="E53">
        <v>45</v>
      </c>
      <c r="F53" t="s">
        <v>148</v>
      </c>
    </row>
    <row r="54" spans="1:6">
      <c r="A54" t="s">
        <v>150</v>
      </c>
      <c r="B54">
        <v>27110</v>
      </c>
      <c r="C54" t="s">
        <v>152</v>
      </c>
      <c r="D54" t="s">
        <v>87</v>
      </c>
      <c r="E54">
        <v>43</v>
      </c>
      <c r="F54" t="s">
        <v>151</v>
      </c>
    </row>
    <row r="55" spans="1:6">
      <c r="A55" t="s">
        <v>153</v>
      </c>
      <c r="B55">
        <v>27290</v>
      </c>
      <c r="C55" t="s">
        <v>149</v>
      </c>
      <c r="D55" t="s">
        <v>87</v>
      </c>
      <c r="E55">
        <v>43</v>
      </c>
      <c r="F55" t="s">
        <v>148</v>
      </c>
    </row>
    <row r="56" spans="1:6">
      <c r="A56" t="s">
        <v>154</v>
      </c>
      <c r="B56">
        <v>27110</v>
      </c>
      <c r="C56" t="s">
        <v>152</v>
      </c>
      <c r="D56" t="s">
        <v>93</v>
      </c>
      <c r="E56">
        <v>43</v>
      </c>
      <c r="F56" t="s">
        <v>151</v>
      </c>
    </row>
    <row r="57" spans="1:6">
      <c r="A57" t="s">
        <v>155</v>
      </c>
      <c r="B57">
        <v>27230</v>
      </c>
      <c r="D57" t="s">
        <v>157</v>
      </c>
      <c r="E57">
        <v>43</v>
      </c>
      <c r="F57" t="s">
        <v>156</v>
      </c>
    </row>
    <row r="58" spans="1:6">
      <c r="A58" t="s">
        <v>158</v>
      </c>
      <c r="B58">
        <v>27260</v>
      </c>
      <c r="C58" t="s">
        <v>132</v>
      </c>
      <c r="D58">
        <v>102</v>
      </c>
      <c r="E58">
        <v>43</v>
      </c>
      <c r="F58" t="s">
        <v>131</v>
      </c>
    </row>
    <row r="59" spans="1:6">
      <c r="A59" t="s">
        <v>159</v>
      </c>
      <c r="B59">
        <v>27260</v>
      </c>
      <c r="C59" t="s">
        <v>132</v>
      </c>
      <c r="D59">
        <v>101</v>
      </c>
      <c r="E59">
        <v>43</v>
      </c>
      <c r="F59" t="s">
        <v>131</v>
      </c>
    </row>
    <row r="60" spans="1:6">
      <c r="A60" t="s">
        <v>160</v>
      </c>
      <c r="B60">
        <v>27260</v>
      </c>
      <c r="C60" t="s">
        <v>132</v>
      </c>
      <c r="D60">
        <v>104</v>
      </c>
      <c r="E60">
        <v>43</v>
      </c>
      <c r="F60" t="s">
        <v>131</v>
      </c>
    </row>
    <row r="61" spans="1:6">
      <c r="A61" t="s">
        <v>161</v>
      </c>
      <c r="B61">
        <v>27230</v>
      </c>
      <c r="C61" t="s">
        <v>163</v>
      </c>
      <c r="D61" t="s">
        <v>87</v>
      </c>
      <c r="E61">
        <v>42</v>
      </c>
      <c r="F61" t="s">
        <v>162</v>
      </c>
    </row>
    <row r="62" spans="1:6">
      <c r="A62" t="s">
        <v>164</v>
      </c>
      <c r="B62">
        <v>28185</v>
      </c>
      <c r="C62" t="s">
        <v>166</v>
      </c>
      <c r="D62" t="s">
        <v>167</v>
      </c>
      <c r="E62">
        <v>64</v>
      </c>
      <c r="F62" t="s">
        <v>165</v>
      </c>
    </row>
    <row r="63" spans="1:6">
      <c r="A63" t="s">
        <v>168</v>
      </c>
      <c r="B63">
        <v>28185</v>
      </c>
      <c r="C63" t="s">
        <v>166</v>
      </c>
      <c r="D63" t="s">
        <v>169</v>
      </c>
      <c r="E63">
        <v>64</v>
      </c>
      <c r="F63" t="s">
        <v>165</v>
      </c>
    </row>
    <row r="64" spans="1:6">
      <c r="A64" t="s">
        <v>170</v>
      </c>
      <c r="B64">
        <v>28185</v>
      </c>
      <c r="C64" t="s">
        <v>166</v>
      </c>
      <c r="D64" t="s">
        <v>171</v>
      </c>
      <c r="E64">
        <v>64</v>
      </c>
      <c r="F64" t="s">
        <v>165</v>
      </c>
    </row>
    <row r="65" spans="1:6">
      <c r="A65" t="s">
        <v>172</v>
      </c>
      <c r="B65">
        <v>28185</v>
      </c>
      <c r="C65" t="s">
        <v>166</v>
      </c>
      <c r="D65" t="s">
        <v>173</v>
      </c>
      <c r="E65">
        <v>64</v>
      </c>
      <c r="F65" t="s">
        <v>165</v>
      </c>
    </row>
    <row r="66" spans="1:6">
      <c r="A66" t="s">
        <v>174</v>
      </c>
      <c r="B66">
        <v>28260</v>
      </c>
      <c r="C66" t="s">
        <v>176</v>
      </c>
      <c r="D66" t="s">
        <v>87</v>
      </c>
      <c r="E66">
        <v>55</v>
      </c>
      <c r="F66" t="s">
        <v>175</v>
      </c>
    </row>
    <row r="67" spans="1:6">
      <c r="A67" t="s">
        <v>177</v>
      </c>
      <c r="B67">
        <v>28260</v>
      </c>
      <c r="C67" t="s">
        <v>176</v>
      </c>
      <c r="D67" t="s">
        <v>93</v>
      </c>
      <c r="E67">
        <v>55</v>
      </c>
      <c r="F67" t="s">
        <v>175</v>
      </c>
    </row>
    <row r="68" spans="1:6">
      <c r="A68" t="s">
        <v>178</v>
      </c>
      <c r="B68">
        <v>28170</v>
      </c>
      <c r="C68" t="s">
        <v>180</v>
      </c>
      <c r="D68">
        <v>103</v>
      </c>
      <c r="E68">
        <v>53</v>
      </c>
      <c r="F68" t="s">
        <v>179</v>
      </c>
    </row>
    <row r="69" spans="1:6">
      <c r="A69" t="s">
        <v>181</v>
      </c>
      <c r="B69">
        <v>28170</v>
      </c>
      <c r="C69" t="s">
        <v>183</v>
      </c>
      <c r="D69" t="s">
        <v>87</v>
      </c>
      <c r="E69">
        <v>53</v>
      </c>
      <c r="F69" t="s">
        <v>182</v>
      </c>
    </row>
    <row r="70" spans="1:6">
      <c r="A70" t="s">
        <v>184</v>
      </c>
      <c r="B70">
        <v>28200</v>
      </c>
      <c r="C70" t="s">
        <v>186</v>
      </c>
      <c r="D70" t="s">
        <v>187</v>
      </c>
      <c r="E70">
        <v>50</v>
      </c>
      <c r="F70" t="s">
        <v>185</v>
      </c>
    </row>
    <row r="71" spans="1:6">
      <c r="A71" t="s">
        <v>188</v>
      </c>
      <c r="B71">
        <v>28185</v>
      </c>
      <c r="C71" t="s">
        <v>190</v>
      </c>
      <c r="D71" t="s">
        <v>191</v>
      </c>
      <c r="E71">
        <v>49</v>
      </c>
      <c r="F71" t="s">
        <v>189</v>
      </c>
    </row>
    <row r="72" spans="1:6">
      <c r="A72" t="s">
        <v>192</v>
      </c>
      <c r="B72">
        <v>28200</v>
      </c>
      <c r="C72" t="s">
        <v>186</v>
      </c>
      <c r="D72" t="s">
        <v>193</v>
      </c>
      <c r="E72">
        <v>47</v>
      </c>
      <c r="F72" t="s">
        <v>185</v>
      </c>
    </row>
    <row r="73" spans="1:6">
      <c r="A73" t="s">
        <v>194</v>
      </c>
      <c r="B73">
        <v>28170</v>
      </c>
      <c r="C73" t="s">
        <v>180</v>
      </c>
      <c r="D73">
        <v>102</v>
      </c>
      <c r="E73">
        <v>47</v>
      </c>
      <c r="F73" t="s">
        <v>179</v>
      </c>
    </row>
    <row r="74" spans="1:6">
      <c r="A74" t="s">
        <v>195</v>
      </c>
      <c r="B74">
        <v>28260</v>
      </c>
      <c r="C74" t="s">
        <v>176</v>
      </c>
      <c r="D74" t="s">
        <v>85</v>
      </c>
      <c r="E74">
        <v>47</v>
      </c>
      <c r="F74" t="s">
        <v>175</v>
      </c>
    </row>
    <row r="75" spans="1:6">
      <c r="A75" t="s">
        <v>196</v>
      </c>
      <c r="B75">
        <v>28185</v>
      </c>
      <c r="C75" t="s">
        <v>198</v>
      </c>
      <c r="D75" t="s">
        <v>85</v>
      </c>
      <c r="E75">
        <v>47</v>
      </c>
      <c r="F75" t="s">
        <v>197</v>
      </c>
    </row>
    <row r="76" spans="1:6">
      <c r="A76" t="s">
        <v>199</v>
      </c>
      <c r="B76">
        <v>28185</v>
      </c>
      <c r="C76" t="s">
        <v>198</v>
      </c>
      <c r="D76" t="s">
        <v>87</v>
      </c>
      <c r="E76">
        <v>47</v>
      </c>
      <c r="F76" t="s">
        <v>197</v>
      </c>
    </row>
    <row r="77" spans="1:6">
      <c r="A77" t="s">
        <v>200</v>
      </c>
      <c r="B77">
        <v>28185</v>
      </c>
      <c r="C77" t="s">
        <v>198</v>
      </c>
      <c r="D77" t="s">
        <v>93</v>
      </c>
      <c r="E77">
        <v>47</v>
      </c>
      <c r="F77" t="s">
        <v>197</v>
      </c>
    </row>
    <row r="78" spans="1:6">
      <c r="A78" t="s">
        <v>201</v>
      </c>
      <c r="B78">
        <v>28185</v>
      </c>
      <c r="C78" t="s">
        <v>203</v>
      </c>
      <c r="D78" t="s">
        <v>36</v>
      </c>
      <c r="E78">
        <v>45</v>
      </c>
      <c r="F78" t="s">
        <v>202</v>
      </c>
    </row>
    <row r="79" spans="1:6">
      <c r="A79" t="s">
        <v>204</v>
      </c>
      <c r="B79">
        <v>28170</v>
      </c>
      <c r="C79" t="s">
        <v>180</v>
      </c>
      <c r="D79">
        <v>104</v>
      </c>
      <c r="E79">
        <v>44</v>
      </c>
      <c r="F79" t="s">
        <v>179</v>
      </c>
    </row>
    <row r="80" spans="1:6">
      <c r="A80" t="s">
        <v>205</v>
      </c>
      <c r="B80">
        <v>28170</v>
      </c>
      <c r="C80" t="s">
        <v>183</v>
      </c>
      <c r="D80" t="s">
        <v>85</v>
      </c>
      <c r="E80">
        <v>43</v>
      </c>
      <c r="F80" t="s">
        <v>182</v>
      </c>
    </row>
    <row r="81" spans="1:6">
      <c r="A81" t="s">
        <v>206</v>
      </c>
      <c r="B81">
        <v>28185</v>
      </c>
      <c r="C81" t="s">
        <v>208</v>
      </c>
      <c r="D81" t="s">
        <v>208</v>
      </c>
      <c r="E81">
        <v>43</v>
      </c>
      <c r="F81" t="s">
        <v>207</v>
      </c>
    </row>
    <row r="82" spans="1:6">
      <c r="A82" t="s">
        <v>209</v>
      </c>
      <c r="B82">
        <v>29155</v>
      </c>
      <c r="C82" t="s">
        <v>211</v>
      </c>
      <c r="D82" t="s">
        <v>212</v>
      </c>
      <c r="E82">
        <v>32</v>
      </c>
      <c r="F82" t="s">
        <v>210</v>
      </c>
    </row>
    <row r="83" spans="1:6">
      <c r="A83" t="s">
        <v>213</v>
      </c>
      <c r="B83">
        <v>29155</v>
      </c>
      <c r="C83" t="s">
        <v>211</v>
      </c>
      <c r="D83" t="s">
        <v>191</v>
      </c>
      <c r="E83">
        <v>30</v>
      </c>
      <c r="F83" t="s">
        <v>210</v>
      </c>
    </row>
    <row r="84" spans="1:6">
      <c r="A84" t="s">
        <v>214</v>
      </c>
      <c r="B84">
        <v>29140</v>
      </c>
      <c r="C84" t="s">
        <v>216</v>
      </c>
      <c r="E84">
        <v>30</v>
      </c>
      <c r="F84" t="s">
        <v>215</v>
      </c>
    </row>
    <row r="85" spans="1:6">
      <c r="A85" t="s">
        <v>217</v>
      </c>
      <c r="B85">
        <v>29155</v>
      </c>
      <c r="C85" t="s">
        <v>211</v>
      </c>
      <c r="D85" t="s">
        <v>218</v>
      </c>
      <c r="E85">
        <v>29</v>
      </c>
      <c r="F85" t="s">
        <v>210</v>
      </c>
    </row>
    <row r="86" spans="1:6">
      <c r="A86" t="s">
        <v>219</v>
      </c>
      <c r="B86">
        <v>29170</v>
      </c>
      <c r="C86" t="s">
        <v>221</v>
      </c>
      <c r="D86" t="s">
        <v>140</v>
      </c>
      <c r="E86">
        <v>27</v>
      </c>
      <c r="F86" t="s">
        <v>220</v>
      </c>
    </row>
    <row r="87" spans="1:6">
      <c r="A87" t="s">
        <v>222</v>
      </c>
      <c r="B87">
        <v>29170</v>
      </c>
      <c r="C87" t="s">
        <v>221</v>
      </c>
      <c r="D87" t="s">
        <v>129</v>
      </c>
      <c r="E87">
        <v>26</v>
      </c>
      <c r="F87" t="s">
        <v>220</v>
      </c>
    </row>
    <row r="88" spans="1:6">
      <c r="A88" t="s">
        <v>223</v>
      </c>
      <c r="B88">
        <v>29170</v>
      </c>
      <c r="C88" t="s">
        <v>225</v>
      </c>
      <c r="D88" t="s">
        <v>226</v>
      </c>
      <c r="E88">
        <v>26</v>
      </c>
      <c r="F88" t="s">
        <v>224</v>
      </c>
    </row>
    <row r="89" spans="1:6">
      <c r="A89" t="s">
        <v>227</v>
      </c>
      <c r="B89">
        <v>29170</v>
      </c>
      <c r="C89" t="s">
        <v>225</v>
      </c>
      <c r="D89" t="s">
        <v>228</v>
      </c>
      <c r="E89">
        <v>26</v>
      </c>
      <c r="F89" t="s">
        <v>224</v>
      </c>
    </row>
    <row r="90" spans="1:6">
      <c r="A90" t="s">
        <v>229</v>
      </c>
      <c r="B90">
        <v>29170</v>
      </c>
      <c r="C90" t="s">
        <v>225</v>
      </c>
      <c r="D90" t="s">
        <v>230</v>
      </c>
      <c r="E90">
        <v>26</v>
      </c>
      <c r="F90" t="s">
        <v>224</v>
      </c>
    </row>
    <row r="91" spans="1:6">
      <c r="A91" t="s">
        <v>231</v>
      </c>
      <c r="B91">
        <v>29170</v>
      </c>
      <c r="C91" t="s">
        <v>225</v>
      </c>
      <c r="D91" t="s">
        <v>232</v>
      </c>
      <c r="E91">
        <v>26</v>
      </c>
      <c r="F91" t="s">
        <v>224</v>
      </c>
    </row>
    <row r="92" spans="1:6">
      <c r="A92" t="s">
        <v>233</v>
      </c>
      <c r="B92">
        <v>29170</v>
      </c>
      <c r="C92" t="s">
        <v>225</v>
      </c>
      <c r="D92" t="s">
        <v>234</v>
      </c>
      <c r="E92">
        <v>26</v>
      </c>
      <c r="F92" t="s">
        <v>224</v>
      </c>
    </row>
    <row r="93" spans="1:6">
      <c r="A93" t="s">
        <v>235</v>
      </c>
      <c r="B93">
        <v>29170</v>
      </c>
      <c r="C93" t="s">
        <v>225</v>
      </c>
      <c r="D93" t="s">
        <v>237</v>
      </c>
      <c r="E93">
        <v>26</v>
      </c>
      <c r="F93" t="s">
        <v>236</v>
      </c>
    </row>
    <row r="94" spans="1:6">
      <c r="A94" t="s">
        <v>238</v>
      </c>
      <c r="B94">
        <v>29170</v>
      </c>
      <c r="C94" t="s">
        <v>225</v>
      </c>
      <c r="D94" t="s">
        <v>239</v>
      </c>
      <c r="E94">
        <v>26</v>
      </c>
      <c r="F94" t="s">
        <v>236</v>
      </c>
    </row>
    <row r="95" spans="1:6">
      <c r="A95" t="s">
        <v>240</v>
      </c>
      <c r="B95">
        <v>29170</v>
      </c>
      <c r="C95" t="s">
        <v>225</v>
      </c>
      <c r="D95" t="s">
        <v>241</v>
      </c>
      <c r="E95">
        <v>26</v>
      </c>
      <c r="F95" t="s">
        <v>236</v>
      </c>
    </row>
    <row r="96" spans="1:6">
      <c r="A96" t="s">
        <v>242</v>
      </c>
      <c r="B96">
        <v>29170</v>
      </c>
      <c r="C96" t="s">
        <v>225</v>
      </c>
      <c r="D96" t="s">
        <v>243</v>
      </c>
      <c r="E96">
        <v>25</v>
      </c>
      <c r="F96" t="s">
        <v>236</v>
      </c>
    </row>
    <row r="97" spans="1:6">
      <c r="A97" t="s">
        <v>244</v>
      </c>
      <c r="B97">
        <v>29170</v>
      </c>
      <c r="C97" t="s">
        <v>225</v>
      </c>
      <c r="D97" t="s">
        <v>245</v>
      </c>
      <c r="E97">
        <v>25</v>
      </c>
      <c r="F97" t="s">
        <v>236</v>
      </c>
    </row>
    <row r="98" spans="1:6">
      <c r="A98" t="s">
        <v>246</v>
      </c>
      <c r="B98">
        <v>29200</v>
      </c>
      <c r="C98" t="s">
        <v>248</v>
      </c>
      <c r="D98" t="s">
        <v>93</v>
      </c>
      <c r="E98">
        <v>25</v>
      </c>
      <c r="F98" t="s">
        <v>247</v>
      </c>
    </row>
    <row r="99" spans="1:6">
      <c r="A99" t="s">
        <v>249</v>
      </c>
      <c r="B99">
        <v>29200</v>
      </c>
      <c r="C99" t="s">
        <v>248</v>
      </c>
      <c r="D99" t="s">
        <v>129</v>
      </c>
      <c r="E99">
        <v>25</v>
      </c>
      <c r="F99" t="s">
        <v>247</v>
      </c>
    </row>
    <row r="100" spans="1:6">
      <c r="A100" t="s">
        <v>250</v>
      </c>
      <c r="B100">
        <v>29200</v>
      </c>
      <c r="C100" t="s">
        <v>248</v>
      </c>
      <c r="D100" t="s">
        <v>87</v>
      </c>
      <c r="E100">
        <v>25</v>
      </c>
      <c r="F100" t="s">
        <v>247</v>
      </c>
    </row>
    <row r="101" spans="1:6">
      <c r="A101" t="s">
        <v>251</v>
      </c>
      <c r="B101">
        <v>29170</v>
      </c>
      <c r="C101" t="s">
        <v>225</v>
      </c>
      <c r="D101" t="s">
        <v>252</v>
      </c>
      <c r="E101">
        <v>25</v>
      </c>
      <c r="F101" t="s">
        <v>236</v>
      </c>
    </row>
    <row r="102" spans="1:6">
      <c r="A102" t="s">
        <v>253</v>
      </c>
      <c r="B102">
        <v>30200</v>
      </c>
      <c r="C102" t="s">
        <v>255</v>
      </c>
      <c r="D102" t="s">
        <v>255</v>
      </c>
      <c r="E102">
        <v>40</v>
      </c>
      <c r="F102" t="s">
        <v>254</v>
      </c>
    </row>
    <row r="103" spans="1:6">
      <c r="A103" t="s">
        <v>256</v>
      </c>
      <c r="B103">
        <v>30200</v>
      </c>
      <c r="C103" t="s">
        <v>258</v>
      </c>
      <c r="D103" t="s">
        <v>212</v>
      </c>
      <c r="E103">
        <v>39</v>
      </c>
      <c r="F103" t="s">
        <v>257</v>
      </c>
    </row>
    <row r="104" spans="1:6">
      <c r="A104" t="s">
        <v>259</v>
      </c>
      <c r="B104">
        <v>30200</v>
      </c>
      <c r="C104" t="s">
        <v>258</v>
      </c>
      <c r="D104" t="s">
        <v>261</v>
      </c>
      <c r="E104">
        <v>39</v>
      </c>
      <c r="F104" t="s">
        <v>260</v>
      </c>
    </row>
    <row r="105" spans="1:6">
      <c r="A105" t="s">
        <v>262</v>
      </c>
      <c r="B105">
        <v>30200</v>
      </c>
      <c r="C105" t="s">
        <v>258</v>
      </c>
      <c r="D105" t="s">
        <v>191</v>
      </c>
      <c r="E105">
        <v>36</v>
      </c>
      <c r="F105" t="s">
        <v>257</v>
      </c>
    </row>
    <row r="106" spans="1:6">
      <c r="A106" t="s">
        <v>263</v>
      </c>
      <c r="B106">
        <v>30200</v>
      </c>
      <c r="C106" t="s">
        <v>258</v>
      </c>
      <c r="D106" t="s">
        <v>264</v>
      </c>
      <c r="E106">
        <v>35</v>
      </c>
      <c r="F106" t="s">
        <v>260</v>
      </c>
    </row>
    <row r="107" spans="1:6">
      <c r="A107" t="s">
        <v>265</v>
      </c>
      <c r="B107">
        <v>30200</v>
      </c>
      <c r="C107" t="s">
        <v>258</v>
      </c>
      <c r="D107" t="s">
        <v>218</v>
      </c>
      <c r="E107">
        <v>33</v>
      </c>
      <c r="F107" t="s">
        <v>257</v>
      </c>
    </row>
    <row r="108" spans="1:6">
      <c r="A108" t="s">
        <v>266</v>
      </c>
      <c r="B108">
        <v>30200</v>
      </c>
      <c r="C108" t="s">
        <v>258</v>
      </c>
      <c r="D108" t="s">
        <v>267</v>
      </c>
      <c r="E108">
        <v>32</v>
      </c>
      <c r="F108" t="s">
        <v>260</v>
      </c>
    </row>
    <row r="109" spans="1:6">
      <c r="A109" t="s">
        <v>268</v>
      </c>
      <c r="B109">
        <v>30110</v>
      </c>
      <c r="C109" t="s">
        <v>270</v>
      </c>
      <c r="D109" t="s">
        <v>129</v>
      </c>
      <c r="E109">
        <v>32</v>
      </c>
      <c r="F109" t="s">
        <v>269</v>
      </c>
    </row>
    <row r="110" spans="1:6">
      <c r="A110" t="s">
        <v>271</v>
      </c>
      <c r="B110">
        <v>30110</v>
      </c>
      <c r="C110" t="s">
        <v>270</v>
      </c>
      <c r="D110" t="s">
        <v>140</v>
      </c>
      <c r="E110">
        <v>32</v>
      </c>
      <c r="F110" t="s">
        <v>269</v>
      </c>
    </row>
    <row r="111" spans="1:6">
      <c r="A111" t="s">
        <v>272</v>
      </c>
      <c r="B111">
        <v>30110</v>
      </c>
      <c r="C111" t="s">
        <v>274</v>
      </c>
      <c r="D111" t="s">
        <v>125</v>
      </c>
      <c r="E111">
        <v>31</v>
      </c>
      <c r="F111" t="s">
        <v>273</v>
      </c>
    </row>
    <row r="112" spans="1:6">
      <c r="A112" t="s">
        <v>275</v>
      </c>
      <c r="B112">
        <v>30110</v>
      </c>
      <c r="C112" t="s">
        <v>274</v>
      </c>
      <c r="D112" t="s">
        <v>140</v>
      </c>
      <c r="E112">
        <v>31</v>
      </c>
      <c r="F112" t="s">
        <v>273</v>
      </c>
    </row>
    <row r="113" spans="1:6">
      <c r="A113" t="s">
        <v>276</v>
      </c>
      <c r="B113">
        <v>30110</v>
      </c>
      <c r="C113" t="s">
        <v>278</v>
      </c>
      <c r="D113" t="s">
        <v>140</v>
      </c>
      <c r="E113">
        <v>31</v>
      </c>
      <c r="F113" t="s">
        <v>277</v>
      </c>
    </row>
    <row r="114" spans="1:6">
      <c r="A114" t="s">
        <v>279</v>
      </c>
      <c r="B114">
        <v>30110</v>
      </c>
      <c r="C114" t="s">
        <v>278</v>
      </c>
      <c r="D114" t="s">
        <v>110</v>
      </c>
      <c r="E114">
        <v>31</v>
      </c>
      <c r="F114" t="s">
        <v>277</v>
      </c>
    </row>
    <row r="115" spans="1:6">
      <c r="A115" t="s">
        <v>280</v>
      </c>
      <c r="B115">
        <v>30110</v>
      </c>
      <c r="C115" t="s">
        <v>282</v>
      </c>
      <c r="D115" t="s">
        <v>191</v>
      </c>
      <c r="E115">
        <v>31</v>
      </c>
      <c r="F115" t="s">
        <v>281</v>
      </c>
    </row>
    <row r="116" spans="1:6">
      <c r="A116" t="s">
        <v>283</v>
      </c>
      <c r="B116">
        <v>30110</v>
      </c>
      <c r="C116" t="s">
        <v>282</v>
      </c>
      <c r="D116" t="s">
        <v>284</v>
      </c>
      <c r="E116">
        <v>31</v>
      </c>
      <c r="F116" t="s">
        <v>281</v>
      </c>
    </row>
    <row r="117" spans="1:6">
      <c r="A117" t="s">
        <v>285</v>
      </c>
      <c r="B117">
        <v>30110</v>
      </c>
      <c r="C117" t="s">
        <v>282</v>
      </c>
      <c r="D117" t="s">
        <v>286</v>
      </c>
      <c r="E117">
        <v>31</v>
      </c>
      <c r="F117" t="s">
        <v>281</v>
      </c>
    </row>
    <row r="118" spans="1:6">
      <c r="A118" t="s">
        <v>287</v>
      </c>
      <c r="B118">
        <v>30110</v>
      </c>
      <c r="C118" t="s">
        <v>282</v>
      </c>
      <c r="D118" t="s">
        <v>288</v>
      </c>
      <c r="E118">
        <v>31</v>
      </c>
      <c r="F118" t="s">
        <v>281</v>
      </c>
    </row>
    <row r="119" spans="1:6">
      <c r="A119" t="s">
        <v>289</v>
      </c>
      <c r="B119">
        <v>30200</v>
      </c>
      <c r="C119" t="s">
        <v>291</v>
      </c>
      <c r="D119" t="s">
        <v>292</v>
      </c>
      <c r="E119">
        <v>30</v>
      </c>
      <c r="F119" t="s">
        <v>290</v>
      </c>
    </row>
    <row r="120" spans="1:6">
      <c r="A120" t="s">
        <v>293</v>
      </c>
      <c r="B120">
        <v>30200</v>
      </c>
      <c r="C120" t="s">
        <v>291</v>
      </c>
      <c r="D120" t="s">
        <v>294</v>
      </c>
      <c r="E120">
        <v>30</v>
      </c>
      <c r="F120" t="s">
        <v>290</v>
      </c>
    </row>
    <row r="121" spans="1:6">
      <c r="A121" t="s">
        <v>295</v>
      </c>
      <c r="B121">
        <v>30200</v>
      </c>
      <c r="C121" t="s">
        <v>291</v>
      </c>
      <c r="D121" t="s">
        <v>296</v>
      </c>
      <c r="E121">
        <v>30</v>
      </c>
      <c r="F121" t="s">
        <v>290</v>
      </c>
    </row>
    <row r="122" spans="1:6">
      <c r="A122" t="s">
        <v>297</v>
      </c>
      <c r="B122">
        <v>31110</v>
      </c>
      <c r="C122" t="s">
        <v>299</v>
      </c>
      <c r="D122" t="s">
        <v>85</v>
      </c>
      <c r="E122">
        <v>54</v>
      </c>
      <c r="F122" t="s">
        <v>298</v>
      </c>
    </row>
    <row r="123" spans="1:6">
      <c r="A123" t="s">
        <v>300</v>
      </c>
      <c r="B123">
        <v>31110</v>
      </c>
      <c r="C123" t="s">
        <v>299</v>
      </c>
      <c r="D123" t="s">
        <v>87</v>
      </c>
      <c r="E123">
        <v>54</v>
      </c>
      <c r="F123" t="s">
        <v>298</v>
      </c>
    </row>
    <row r="124" spans="1:6">
      <c r="A124" t="s">
        <v>301</v>
      </c>
      <c r="B124">
        <v>31140</v>
      </c>
      <c r="C124" t="s">
        <v>136</v>
      </c>
      <c r="D124" t="s">
        <v>136</v>
      </c>
      <c r="E124">
        <v>48</v>
      </c>
      <c r="F124" t="s">
        <v>302</v>
      </c>
    </row>
    <row r="125" spans="1:6">
      <c r="A125" t="s">
        <v>303</v>
      </c>
      <c r="B125">
        <v>31140</v>
      </c>
      <c r="C125" t="s">
        <v>305</v>
      </c>
      <c r="D125" t="s">
        <v>42</v>
      </c>
      <c r="E125">
        <v>43</v>
      </c>
      <c r="F125" t="s">
        <v>304</v>
      </c>
    </row>
    <row r="126" spans="1:6">
      <c r="A126" t="s">
        <v>306</v>
      </c>
      <c r="B126">
        <v>31140</v>
      </c>
      <c r="C126" t="s">
        <v>305</v>
      </c>
      <c r="D126" t="s">
        <v>99</v>
      </c>
      <c r="E126">
        <v>43</v>
      </c>
      <c r="F126" t="s">
        <v>304</v>
      </c>
    </row>
    <row r="127" spans="1:6">
      <c r="A127" t="s">
        <v>307</v>
      </c>
      <c r="B127">
        <v>31110</v>
      </c>
      <c r="C127" t="s">
        <v>309</v>
      </c>
      <c r="E127">
        <v>41</v>
      </c>
      <c r="F127" t="s">
        <v>308</v>
      </c>
    </row>
    <row r="128" spans="1:6">
      <c r="A128" t="s">
        <v>310</v>
      </c>
      <c r="B128">
        <v>31110</v>
      </c>
      <c r="C128" t="s">
        <v>312</v>
      </c>
      <c r="D128" t="s">
        <v>312</v>
      </c>
      <c r="E128">
        <v>40</v>
      </c>
      <c r="F128" t="s">
        <v>311</v>
      </c>
    </row>
    <row r="129" spans="1:6">
      <c r="A129" t="s">
        <v>313</v>
      </c>
      <c r="B129">
        <v>31140</v>
      </c>
      <c r="C129" t="s">
        <v>315</v>
      </c>
      <c r="D129" t="s">
        <v>87</v>
      </c>
      <c r="E129">
        <v>40</v>
      </c>
      <c r="F129" t="s">
        <v>314</v>
      </c>
    </row>
    <row r="130" spans="1:6">
      <c r="A130" t="s">
        <v>316</v>
      </c>
      <c r="B130">
        <v>31140</v>
      </c>
      <c r="C130" t="s">
        <v>315</v>
      </c>
      <c r="D130" t="s">
        <v>85</v>
      </c>
      <c r="E130">
        <v>40</v>
      </c>
      <c r="F130" t="s">
        <v>314</v>
      </c>
    </row>
    <row r="131" spans="1:6">
      <c r="A131" t="s">
        <v>317</v>
      </c>
      <c r="B131">
        <v>31140</v>
      </c>
      <c r="C131" t="s">
        <v>319</v>
      </c>
      <c r="E131">
        <v>39</v>
      </c>
      <c r="F131" t="s">
        <v>318</v>
      </c>
    </row>
    <row r="132" spans="1:6">
      <c r="A132" t="s">
        <v>320</v>
      </c>
      <c r="B132">
        <v>31200</v>
      </c>
      <c r="C132" t="s">
        <v>322</v>
      </c>
      <c r="D132" t="s">
        <v>142</v>
      </c>
      <c r="E132">
        <v>36</v>
      </c>
      <c r="F132" t="s">
        <v>321</v>
      </c>
    </row>
    <row r="133" spans="1:6">
      <c r="A133" t="s">
        <v>323</v>
      </c>
      <c r="B133">
        <v>31200</v>
      </c>
      <c r="C133" t="s">
        <v>322</v>
      </c>
      <c r="D133" t="s">
        <v>142</v>
      </c>
      <c r="E133">
        <v>36</v>
      </c>
      <c r="F133" t="s">
        <v>324</v>
      </c>
    </row>
    <row r="134" spans="1:6">
      <c r="A134" t="s">
        <v>325</v>
      </c>
      <c r="B134">
        <v>31200</v>
      </c>
      <c r="C134" t="s">
        <v>322</v>
      </c>
      <c r="D134" t="s">
        <v>327</v>
      </c>
      <c r="E134">
        <v>36</v>
      </c>
      <c r="F134" t="s">
        <v>326</v>
      </c>
    </row>
    <row r="135" spans="1:6">
      <c r="A135" t="s">
        <v>328</v>
      </c>
      <c r="B135">
        <v>31200</v>
      </c>
      <c r="C135" t="s">
        <v>322</v>
      </c>
      <c r="D135" t="s">
        <v>116</v>
      </c>
      <c r="E135">
        <v>36</v>
      </c>
      <c r="F135" t="s">
        <v>324</v>
      </c>
    </row>
    <row r="136" spans="1:6">
      <c r="A136" t="s">
        <v>329</v>
      </c>
      <c r="B136">
        <v>31110</v>
      </c>
      <c r="C136" t="s">
        <v>331</v>
      </c>
      <c r="D136" t="s">
        <v>85</v>
      </c>
      <c r="E136">
        <v>35</v>
      </c>
      <c r="F136" t="s">
        <v>330</v>
      </c>
    </row>
    <row r="137" spans="1:6">
      <c r="A137" t="s">
        <v>332</v>
      </c>
      <c r="B137">
        <v>31110</v>
      </c>
      <c r="C137" t="s">
        <v>331</v>
      </c>
      <c r="D137" t="s">
        <v>93</v>
      </c>
      <c r="E137">
        <v>35</v>
      </c>
      <c r="F137" t="s">
        <v>330</v>
      </c>
    </row>
    <row r="138" spans="1:6">
      <c r="A138" t="s">
        <v>333</v>
      </c>
      <c r="B138">
        <v>31110</v>
      </c>
      <c r="C138" t="s">
        <v>331</v>
      </c>
      <c r="D138" t="s">
        <v>87</v>
      </c>
      <c r="E138">
        <v>35</v>
      </c>
      <c r="F138" t="s">
        <v>330</v>
      </c>
    </row>
    <row r="139" spans="1:6">
      <c r="A139" t="s">
        <v>334</v>
      </c>
      <c r="B139">
        <v>31140</v>
      </c>
      <c r="C139" t="s">
        <v>305</v>
      </c>
      <c r="D139" t="s">
        <v>59</v>
      </c>
      <c r="E139">
        <v>35</v>
      </c>
      <c r="F139" t="s">
        <v>304</v>
      </c>
    </row>
    <row r="140" spans="1:6">
      <c r="A140" t="s">
        <v>335</v>
      </c>
      <c r="B140">
        <v>31200</v>
      </c>
      <c r="C140" t="s">
        <v>322</v>
      </c>
      <c r="D140" t="s">
        <v>336</v>
      </c>
      <c r="E140">
        <v>34</v>
      </c>
      <c r="F140" t="s">
        <v>321</v>
      </c>
    </row>
    <row r="141" spans="1:6">
      <c r="A141" t="s">
        <v>337</v>
      </c>
      <c r="B141">
        <v>31200</v>
      </c>
      <c r="C141" t="s">
        <v>322</v>
      </c>
      <c r="D141" t="s">
        <v>125</v>
      </c>
      <c r="E141">
        <v>34</v>
      </c>
      <c r="F141" t="s">
        <v>324</v>
      </c>
    </row>
    <row r="142" spans="1:6">
      <c r="A142" t="s">
        <v>338</v>
      </c>
      <c r="B142">
        <v>41590</v>
      </c>
      <c r="C142" t="s">
        <v>340</v>
      </c>
      <c r="D142" t="s">
        <v>341</v>
      </c>
      <c r="E142">
        <v>66</v>
      </c>
      <c r="F142" t="s">
        <v>339</v>
      </c>
    </row>
    <row r="143" spans="1:6">
      <c r="A143" t="s">
        <v>342</v>
      </c>
      <c r="B143">
        <v>41590</v>
      </c>
      <c r="C143" t="s">
        <v>340</v>
      </c>
      <c r="D143" t="s">
        <v>42</v>
      </c>
      <c r="E143">
        <v>66</v>
      </c>
      <c r="F143" t="s">
        <v>343</v>
      </c>
    </row>
    <row r="144" spans="1:6">
      <c r="A144" t="s">
        <v>344</v>
      </c>
      <c r="B144">
        <v>41590</v>
      </c>
      <c r="C144" t="s">
        <v>340</v>
      </c>
      <c r="D144" t="s">
        <v>99</v>
      </c>
      <c r="E144">
        <v>60</v>
      </c>
      <c r="F144" t="s">
        <v>343</v>
      </c>
    </row>
    <row r="145" spans="1:6">
      <c r="A145" t="s">
        <v>345</v>
      </c>
      <c r="B145">
        <v>41590</v>
      </c>
      <c r="C145" t="s">
        <v>340</v>
      </c>
      <c r="D145" t="s">
        <v>59</v>
      </c>
      <c r="E145">
        <v>55</v>
      </c>
      <c r="F145" t="s">
        <v>339</v>
      </c>
    </row>
    <row r="146" spans="1:6">
      <c r="A146" t="s">
        <v>346</v>
      </c>
      <c r="B146">
        <v>41590</v>
      </c>
      <c r="C146" t="s">
        <v>348</v>
      </c>
      <c r="D146" t="s">
        <v>348</v>
      </c>
      <c r="E146">
        <v>44</v>
      </c>
      <c r="F146" t="s">
        <v>347</v>
      </c>
    </row>
    <row r="147" spans="1:6">
      <c r="A147" t="s">
        <v>349</v>
      </c>
      <c r="B147">
        <v>41173</v>
      </c>
      <c r="C147" t="s">
        <v>351</v>
      </c>
      <c r="E147">
        <v>42</v>
      </c>
      <c r="F147" t="s">
        <v>350</v>
      </c>
    </row>
    <row r="148" spans="1:6">
      <c r="A148" t="s">
        <v>352</v>
      </c>
      <c r="B148">
        <v>41590</v>
      </c>
      <c r="C148" t="s">
        <v>354</v>
      </c>
      <c r="D148" t="s">
        <v>354</v>
      </c>
      <c r="E148">
        <v>41</v>
      </c>
      <c r="F148" t="s">
        <v>353</v>
      </c>
    </row>
    <row r="149" spans="1:6">
      <c r="A149" t="s">
        <v>355</v>
      </c>
      <c r="B149">
        <v>41360</v>
      </c>
      <c r="C149" t="s">
        <v>357</v>
      </c>
      <c r="D149" t="s">
        <v>87</v>
      </c>
      <c r="E149">
        <v>40</v>
      </c>
      <c r="F149" t="s">
        <v>356</v>
      </c>
    </row>
    <row r="150" spans="1:6">
      <c r="A150" t="s">
        <v>358</v>
      </c>
      <c r="B150">
        <v>41590</v>
      </c>
      <c r="C150" t="s">
        <v>360</v>
      </c>
      <c r="D150" t="s">
        <v>360</v>
      </c>
      <c r="E150">
        <v>40</v>
      </c>
      <c r="F150" t="s">
        <v>359</v>
      </c>
    </row>
    <row r="151" spans="1:6">
      <c r="A151" t="s">
        <v>361</v>
      </c>
      <c r="B151">
        <v>41590</v>
      </c>
      <c r="C151" t="s">
        <v>363</v>
      </c>
      <c r="D151" t="s">
        <v>364</v>
      </c>
      <c r="E151">
        <v>40</v>
      </c>
      <c r="F151" t="s">
        <v>362</v>
      </c>
    </row>
    <row r="152" spans="1:6">
      <c r="A152" t="s">
        <v>365</v>
      </c>
      <c r="B152">
        <v>41135</v>
      </c>
      <c r="C152" t="s">
        <v>367</v>
      </c>
      <c r="D152" t="s">
        <v>367</v>
      </c>
      <c r="E152">
        <v>39</v>
      </c>
      <c r="F152" t="s">
        <v>366</v>
      </c>
    </row>
    <row r="153" spans="1:6">
      <c r="A153" t="s">
        <v>368</v>
      </c>
      <c r="B153">
        <v>41590</v>
      </c>
      <c r="C153" t="s">
        <v>370</v>
      </c>
      <c r="D153" t="s">
        <v>370</v>
      </c>
      <c r="E153">
        <v>38</v>
      </c>
      <c r="F153" t="s">
        <v>369</v>
      </c>
    </row>
    <row r="154" spans="1:6">
      <c r="A154" t="s">
        <v>371</v>
      </c>
      <c r="B154">
        <v>41590</v>
      </c>
      <c r="C154" t="s">
        <v>373</v>
      </c>
      <c r="D154" t="s">
        <v>373</v>
      </c>
      <c r="E154">
        <v>38</v>
      </c>
      <c r="F154" t="s">
        <v>372</v>
      </c>
    </row>
    <row r="155" spans="1:6">
      <c r="A155" t="s">
        <v>374</v>
      </c>
      <c r="B155">
        <v>41410</v>
      </c>
      <c r="C155" t="s">
        <v>376</v>
      </c>
      <c r="D155" t="s">
        <v>376</v>
      </c>
      <c r="E155">
        <v>37</v>
      </c>
      <c r="F155" t="s">
        <v>375</v>
      </c>
    </row>
    <row r="156" spans="1:6">
      <c r="A156" t="s">
        <v>377</v>
      </c>
      <c r="B156">
        <v>41117</v>
      </c>
      <c r="C156" t="s">
        <v>379</v>
      </c>
      <c r="D156" t="s">
        <v>380</v>
      </c>
      <c r="E156">
        <v>37</v>
      </c>
      <c r="F156" t="s">
        <v>378</v>
      </c>
    </row>
    <row r="157" spans="1:6">
      <c r="A157" t="s">
        <v>381</v>
      </c>
      <c r="B157">
        <v>41195</v>
      </c>
      <c r="C157" t="s">
        <v>383</v>
      </c>
      <c r="E157">
        <v>37</v>
      </c>
      <c r="F157" t="s">
        <v>382</v>
      </c>
    </row>
    <row r="158" spans="1:6">
      <c r="A158" t="s">
        <v>384</v>
      </c>
      <c r="B158">
        <v>41135</v>
      </c>
      <c r="C158" t="s">
        <v>386</v>
      </c>
      <c r="D158" t="s">
        <v>386</v>
      </c>
      <c r="E158">
        <v>37</v>
      </c>
      <c r="F158" t="s">
        <v>385</v>
      </c>
    </row>
    <row r="159" spans="1:6">
      <c r="A159" t="s">
        <v>387</v>
      </c>
      <c r="B159">
        <v>41210</v>
      </c>
      <c r="C159" t="s">
        <v>389</v>
      </c>
      <c r="D159" t="s">
        <v>110</v>
      </c>
      <c r="E159">
        <v>37</v>
      </c>
      <c r="F159" t="s">
        <v>388</v>
      </c>
    </row>
    <row r="160" spans="1:6">
      <c r="A160" t="s">
        <v>390</v>
      </c>
      <c r="B160">
        <v>41210</v>
      </c>
      <c r="C160" t="s">
        <v>389</v>
      </c>
      <c r="D160" t="s">
        <v>140</v>
      </c>
      <c r="E160">
        <v>37</v>
      </c>
      <c r="F160" t="s">
        <v>388</v>
      </c>
    </row>
    <row r="161" spans="1:6">
      <c r="A161" t="s">
        <v>391</v>
      </c>
      <c r="B161">
        <v>41135</v>
      </c>
      <c r="C161" t="s">
        <v>393</v>
      </c>
      <c r="D161" t="s">
        <v>393</v>
      </c>
      <c r="E161">
        <v>37</v>
      </c>
      <c r="F161" t="s">
        <v>392</v>
      </c>
    </row>
    <row r="162" spans="1:6">
      <c r="A162" t="s">
        <v>394</v>
      </c>
      <c r="B162">
        <v>42760</v>
      </c>
      <c r="C162" t="s">
        <v>396</v>
      </c>
      <c r="D162" t="s">
        <v>397</v>
      </c>
      <c r="E162">
        <v>28</v>
      </c>
      <c r="F162" t="s">
        <v>395</v>
      </c>
    </row>
    <row r="163" spans="1:6">
      <c r="A163" t="s">
        <v>398</v>
      </c>
      <c r="B163">
        <v>42760</v>
      </c>
      <c r="C163" t="s">
        <v>396</v>
      </c>
      <c r="D163" t="s">
        <v>397</v>
      </c>
      <c r="E163">
        <v>28</v>
      </c>
      <c r="F163" t="s">
        <v>395</v>
      </c>
    </row>
    <row r="164" spans="1:6">
      <c r="A164" t="s">
        <v>399</v>
      </c>
      <c r="B164">
        <v>42170</v>
      </c>
      <c r="C164" t="s">
        <v>401</v>
      </c>
      <c r="D164" t="s">
        <v>85</v>
      </c>
      <c r="E164">
        <v>27</v>
      </c>
      <c r="F164" t="s">
        <v>400</v>
      </c>
    </row>
    <row r="165" spans="1:6">
      <c r="A165" t="s">
        <v>402</v>
      </c>
      <c r="B165">
        <v>42170</v>
      </c>
      <c r="C165" t="s">
        <v>401</v>
      </c>
      <c r="D165" t="s">
        <v>87</v>
      </c>
      <c r="E165">
        <v>27</v>
      </c>
      <c r="F165" t="s">
        <v>400</v>
      </c>
    </row>
    <row r="166" spans="1:6">
      <c r="A166" t="s">
        <v>403</v>
      </c>
      <c r="B166">
        <v>42110</v>
      </c>
      <c r="C166" t="s">
        <v>405</v>
      </c>
      <c r="D166" t="s">
        <v>110</v>
      </c>
      <c r="E166">
        <v>25</v>
      </c>
      <c r="F166" t="s">
        <v>404</v>
      </c>
    </row>
    <row r="167" spans="1:6">
      <c r="A167" t="s">
        <v>406</v>
      </c>
      <c r="B167">
        <v>42110</v>
      </c>
      <c r="C167" t="s">
        <v>405</v>
      </c>
      <c r="D167" t="s">
        <v>129</v>
      </c>
      <c r="E167">
        <v>25</v>
      </c>
      <c r="F167" t="s">
        <v>404</v>
      </c>
    </row>
    <row r="168" spans="1:6">
      <c r="A168" t="s">
        <v>407</v>
      </c>
      <c r="B168">
        <v>42110</v>
      </c>
      <c r="C168" t="s">
        <v>405</v>
      </c>
      <c r="D168" t="s">
        <v>125</v>
      </c>
      <c r="E168">
        <v>25</v>
      </c>
      <c r="F168" t="s">
        <v>404</v>
      </c>
    </row>
    <row r="169" spans="1:6">
      <c r="A169" t="s">
        <v>408</v>
      </c>
      <c r="B169">
        <v>42110</v>
      </c>
      <c r="C169" t="s">
        <v>405</v>
      </c>
      <c r="D169" t="s">
        <v>118</v>
      </c>
      <c r="E169">
        <v>25</v>
      </c>
      <c r="F169" t="s">
        <v>404</v>
      </c>
    </row>
    <row r="170" spans="1:6">
      <c r="A170" t="s">
        <v>409</v>
      </c>
      <c r="B170">
        <v>42110</v>
      </c>
      <c r="C170" t="s">
        <v>405</v>
      </c>
      <c r="D170" t="s">
        <v>114</v>
      </c>
      <c r="E170">
        <v>25</v>
      </c>
      <c r="F170" t="s">
        <v>404</v>
      </c>
    </row>
    <row r="171" spans="1:6">
      <c r="A171" t="s">
        <v>410</v>
      </c>
      <c r="B171">
        <v>42110</v>
      </c>
      <c r="C171" t="s">
        <v>405</v>
      </c>
      <c r="D171" t="s">
        <v>336</v>
      </c>
      <c r="E171">
        <v>25</v>
      </c>
      <c r="F171" t="s">
        <v>404</v>
      </c>
    </row>
    <row r="172" spans="1:6">
      <c r="A172" t="s">
        <v>411</v>
      </c>
      <c r="B172">
        <v>42110</v>
      </c>
      <c r="C172" t="s">
        <v>405</v>
      </c>
      <c r="D172" t="s">
        <v>85</v>
      </c>
      <c r="E172">
        <v>25</v>
      </c>
      <c r="F172" t="s">
        <v>404</v>
      </c>
    </row>
    <row r="173" spans="1:6">
      <c r="A173" t="s">
        <v>412</v>
      </c>
      <c r="B173">
        <v>42110</v>
      </c>
      <c r="C173" t="s">
        <v>405</v>
      </c>
      <c r="D173" t="s">
        <v>93</v>
      </c>
      <c r="E173">
        <v>25</v>
      </c>
      <c r="F173" t="s">
        <v>404</v>
      </c>
    </row>
    <row r="174" spans="1:6">
      <c r="A174" t="s">
        <v>413</v>
      </c>
      <c r="B174">
        <v>42110</v>
      </c>
      <c r="C174" t="s">
        <v>405</v>
      </c>
      <c r="D174" t="s">
        <v>116</v>
      </c>
      <c r="E174">
        <v>25</v>
      </c>
      <c r="F174" t="s">
        <v>404</v>
      </c>
    </row>
    <row r="175" spans="1:6">
      <c r="A175" t="s">
        <v>414</v>
      </c>
      <c r="B175">
        <v>42110</v>
      </c>
      <c r="C175" t="s">
        <v>405</v>
      </c>
      <c r="D175" t="s">
        <v>140</v>
      </c>
      <c r="E175">
        <v>25</v>
      </c>
      <c r="F175" t="s">
        <v>404</v>
      </c>
    </row>
    <row r="176" spans="1:6">
      <c r="A176" t="s">
        <v>415</v>
      </c>
      <c r="B176">
        <v>42130</v>
      </c>
      <c r="C176" t="s">
        <v>417</v>
      </c>
      <c r="D176" t="s">
        <v>417</v>
      </c>
      <c r="E176">
        <v>25</v>
      </c>
      <c r="F176" t="s">
        <v>416</v>
      </c>
    </row>
    <row r="177" spans="1:6">
      <c r="A177" t="s">
        <v>418</v>
      </c>
      <c r="B177">
        <v>42110</v>
      </c>
      <c r="C177" t="s">
        <v>405</v>
      </c>
      <c r="D177" t="s">
        <v>87</v>
      </c>
      <c r="E177">
        <v>25</v>
      </c>
      <c r="F177" t="s">
        <v>404</v>
      </c>
    </row>
    <row r="178" spans="1:6">
      <c r="A178" t="s">
        <v>419</v>
      </c>
      <c r="B178">
        <v>42110</v>
      </c>
      <c r="C178" t="s">
        <v>405</v>
      </c>
      <c r="D178" t="s">
        <v>142</v>
      </c>
      <c r="E178">
        <v>24</v>
      </c>
      <c r="F178" t="s">
        <v>404</v>
      </c>
    </row>
    <row r="179" spans="1:6">
      <c r="A179" t="s">
        <v>420</v>
      </c>
      <c r="B179">
        <v>42770</v>
      </c>
      <c r="D179" t="s">
        <v>422</v>
      </c>
      <c r="E179">
        <v>24</v>
      </c>
      <c r="F179" t="s">
        <v>421</v>
      </c>
    </row>
    <row r="180" spans="1:6">
      <c r="A180" t="s">
        <v>423</v>
      </c>
      <c r="B180">
        <v>42130</v>
      </c>
      <c r="C180" t="s">
        <v>425</v>
      </c>
      <c r="D180" t="s">
        <v>425</v>
      </c>
      <c r="E180">
        <v>24</v>
      </c>
      <c r="F180" t="s">
        <v>424</v>
      </c>
    </row>
    <row r="181" spans="1:6">
      <c r="A181" t="s">
        <v>426</v>
      </c>
      <c r="B181">
        <v>42110</v>
      </c>
      <c r="C181" t="s">
        <v>428</v>
      </c>
      <c r="D181" t="s">
        <v>129</v>
      </c>
      <c r="E181">
        <v>23</v>
      </c>
      <c r="F181" t="s">
        <v>427</v>
      </c>
    </row>
    <row r="182" spans="1:6">
      <c r="A182" t="s">
        <v>429</v>
      </c>
      <c r="B182">
        <v>43113</v>
      </c>
      <c r="C182" t="s">
        <v>431</v>
      </c>
      <c r="D182" t="s">
        <v>129</v>
      </c>
      <c r="E182">
        <v>45</v>
      </c>
      <c r="F182" t="s">
        <v>430</v>
      </c>
    </row>
    <row r="183" spans="1:6">
      <c r="A183" t="s">
        <v>432</v>
      </c>
      <c r="B183">
        <v>43113</v>
      </c>
      <c r="C183" t="s">
        <v>433</v>
      </c>
      <c r="D183" t="s">
        <v>140</v>
      </c>
      <c r="E183">
        <v>45</v>
      </c>
      <c r="F183" t="s">
        <v>430</v>
      </c>
    </row>
    <row r="184" spans="1:6">
      <c r="A184" t="s">
        <v>434</v>
      </c>
      <c r="B184">
        <v>43113</v>
      </c>
      <c r="C184" t="s">
        <v>435</v>
      </c>
      <c r="D184" t="s">
        <v>125</v>
      </c>
      <c r="E184">
        <v>45</v>
      </c>
      <c r="F184" t="s">
        <v>430</v>
      </c>
    </row>
    <row r="185" spans="1:6">
      <c r="A185" t="s">
        <v>436</v>
      </c>
      <c r="B185">
        <v>43113</v>
      </c>
      <c r="C185" t="s">
        <v>437</v>
      </c>
      <c r="D185" t="s">
        <v>110</v>
      </c>
      <c r="E185">
        <v>45</v>
      </c>
      <c r="F185" t="s">
        <v>430</v>
      </c>
    </row>
    <row r="186" spans="1:6">
      <c r="A186" t="s">
        <v>438</v>
      </c>
      <c r="B186">
        <v>43113</v>
      </c>
      <c r="C186" t="s">
        <v>439</v>
      </c>
      <c r="D186" t="s">
        <v>118</v>
      </c>
      <c r="E186">
        <v>45</v>
      </c>
      <c r="F186" t="s">
        <v>430</v>
      </c>
    </row>
    <row r="187" spans="1:6">
      <c r="A187" t="s">
        <v>440</v>
      </c>
      <c r="B187">
        <v>43745</v>
      </c>
      <c r="E187">
        <v>43</v>
      </c>
      <c r="F187" t="s">
        <v>441</v>
      </c>
    </row>
    <row r="188" spans="1:6">
      <c r="A188" t="s">
        <v>442</v>
      </c>
      <c r="B188">
        <v>43113</v>
      </c>
      <c r="C188" t="s">
        <v>443</v>
      </c>
      <c r="D188" t="s">
        <v>93</v>
      </c>
      <c r="E188">
        <v>42</v>
      </c>
      <c r="F188" t="s">
        <v>430</v>
      </c>
    </row>
    <row r="189" spans="1:6">
      <c r="A189" t="s">
        <v>444</v>
      </c>
      <c r="B189">
        <v>43113</v>
      </c>
      <c r="C189" t="s">
        <v>445</v>
      </c>
      <c r="D189" t="s">
        <v>142</v>
      </c>
      <c r="E189">
        <v>42</v>
      </c>
      <c r="F189" t="s">
        <v>430</v>
      </c>
    </row>
    <row r="190" spans="1:6">
      <c r="A190" t="s">
        <v>446</v>
      </c>
      <c r="B190">
        <v>43770</v>
      </c>
      <c r="E190">
        <v>41</v>
      </c>
      <c r="F190" t="s">
        <v>447</v>
      </c>
    </row>
    <row r="191" spans="1:6">
      <c r="A191" t="s">
        <v>448</v>
      </c>
      <c r="B191">
        <v>43113</v>
      </c>
      <c r="C191" t="s">
        <v>136</v>
      </c>
      <c r="D191" t="s">
        <v>450</v>
      </c>
      <c r="E191">
        <v>41</v>
      </c>
      <c r="F191" t="s">
        <v>449</v>
      </c>
    </row>
    <row r="192" spans="1:6">
      <c r="A192" t="s">
        <v>451</v>
      </c>
      <c r="B192">
        <v>43113</v>
      </c>
      <c r="C192" t="s">
        <v>136</v>
      </c>
      <c r="D192" t="s">
        <v>452</v>
      </c>
      <c r="E192">
        <v>41</v>
      </c>
      <c r="F192" t="s">
        <v>449</v>
      </c>
    </row>
    <row r="193" spans="1:6">
      <c r="A193" t="s">
        <v>453</v>
      </c>
      <c r="B193">
        <v>43113</v>
      </c>
      <c r="C193" t="s">
        <v>454</v>
      </c>
      <c r="D193" t="s">
        <v>85</v>
      </c>
      <c r="E193">
        <v>37</v>
      </c>
      <c r="F193" t="s">
        <v>430</v>
      </c>
    </row>
    <row r="194" spans="1:6">
      <c r="A194" t="s">
        <v>455</v>
      </c>
      <c r="B194">
        <v>43113</v>
      </c>
      <c r="C194" t="s">
        <v>456</v>
      </c>
      <c r="D194" t="s">
        <v>87</v>
      </c>
      <c r="E194">
        <v>37</v>
      </c>
      <c r="F194" t="s">
        <v>430</v>
      </c>
    </row>
    <row r="195" spans="1:6">
      <c r="A195" t="s">
        <v>457</v>
      </c>
      <c r="B195">
        <v>43710</v>
      </c>
      <c r="C195" t="s">
        <v>459</v>
      </c>
      <c r="D195" t="s">
        <v>460</v>
      </c>
      <c r="E195">
        <v>30</v>
      </c>
      <c r="F195" t="s">
        <v>458</v>
      </c>
    </row>
    <row r="196" spans="1:6">
      <c r="A196" t="s">
        <v>461</v>
      </c>
      <c r="B196">
        <v>43710</v>
      </c>
      <c r="C196" t="s">
        <v>459</v>
      </c>
      <c r="D196" t="s">
        <v>462</v>
      </c>
      <c r="E196">
        <v>30</v>
      </c>
      <c r="F196" t="s">
        <v>458</v>
      </c>
    </row>
    <row r="197" spans="1:6">
      <c r="A197" t="s">
        <v>463</v>
      </c>
      <c r="B197">
        <v>43710</v>
      </c>
      <c r="C197" t="s">
        <v>465</v>
      </c>
      <c r="D197" t="s">
        <v>267</v>
      </c>
      <c r="E197">
        <v>30</v>
      </c>
      <c r="F197" t="s">
        <v>464</v>
      </c>
    </row>
    <row r="198" spans="1:6">
      <c r="A198" t="s">
        <v>466</v>
      </c>
      <c r="B198">
        <v>43710</v>
      </c>
      <c r="C198" t="s">
        <v>465</v>
      </c>
      <c r="D198" t="s">
        <v>467</v>
      </c>
      <c r="E198">
        <v>30</v>
      </c>
      <c r="F198" t="s">
        <v>464</v>
      </c>
    </row>
    <row r="199" spans="1:6">
      <c r="A199" t="s">
        <v>468</v>
      </c>
      <c r="B199">
        <v>43710</v>
      </c>
      <c r="C199" t="s">
        <v>459</v>
      </c>
      <c r="D199" t="s">
        <v>469</v>
      </c>
      <c r="E199">
        <v>30</v>
      </c>
      <c r="F199" t="s">
        <v>458</v>
      </c>
    </row>
    <row r="200" spans="1:6">
      <c r="A200" t="s">
        <v>470</v>
      </c>
      <c r="B200">
        <v>43710</v>
      </c>
      <c r="C200" t="s">
        <v>459</v>
      </c>
      <c r="D200" t="s">
        <v>471</v>
      </c>
      <c r="E200">
        <v>28</v>
      </c>
      <c r="F200" t="s">
        <v>458</v>
      </c>
    </row>
    <row r="201" spans="1:6">
      <c r="A201" t="s">
        <v>472</v>
      </c>
      <c r="B201">
        <v>43710</v>
      </c>
      <c r="C201" t="s">
        <v>474</v>
      </c>
      <c r="D201" t="s">
        <v>475</v>
      </c>
      <c r="E201">
        <v>28</v>
      </c>
      <c r="F201" t="s">
        <v>473</v>
      </c>
    </row>
    <row r="202" spans="1:6">
      <c r="A202" t="s">
        <v>476</v>
      </c>
      <c r="B202">
        <v>44133</v>
      </c>
      <c r="C202" t="s">
        <v>478</v>
      </c>
      <c r="D202" t="s">
        <v>93</v>
      </c>
      <c r="E202">
        <v>66</v>
      </c>
      <c r="F202" t="s">
        <v>477</v>
      </c>
    </row>
    <row r="203" spans="1:6">
      <c r="A203" t="s">
        <v>479</v>
      </c>
      <c r="B203">
        <v>44133</v>
      </c>
      <c r="C203" t="s">
        <v>478</v>
      </c>
      <c r="D203" t="s">
        <v>85</v>
      </c>
      <c r="E203">
        <v>45</v>
      </c>
      <c r="F203" t="s">
        <v>480</v>
      </c>
    </row>
    <row r="204" spans="1:6">
      <c r="A204" t="s">
        <v>481</v>
      </c>
      <c r="B204">
        <v>44133</v>
      </c>
      <c r="C204" t="s">
        <v>478</v>
      </c>
      <c r="D204" t="s">
        <v>87</v>
      </c>
      <c r="E204">
        <v>41</v>
      </c>
      <c r="F204" t="s">
        <v>480</v>
      </c>
    </row>
    <row r="205" spans="1:6">
      <c r="A205" t="s">
        <v>482</v>
      </c>
      <c r="B205">
        <v>44200</v>
      </c>
      <c r="C205" t="s">
        <v>484</v>
      </c>
      <c r="D205" t="s">
        <v>485</v>
      </c>
      <c r="E205">
        <v>39</v>
      </c>
      <c r="F205" t="s">
        <v>483</v>
      </c>
    </row>
    <row r="206" spans="1:6">
      <c r="A206" t="s">
        <v>486</v>
      </c>
      <c r="B206">
        <v>44200</v>
      </c>
      <c r="C206" t="s">
        <v>484</v>
      </c>
      <c r="D206" t="s">
        <v>487</v>
      </c>
      <c r="E206">
        <v>39</v>
      </c>
      <c r="F206" t="s">
        <v>483</v>
      </c>
    </row>
    <row r="207" spans="1:6">
      <c r="A207" t="s">
        <v>488</v>
      </c>
      <c r="B207">
        <v>44200</v>
      </c>
      <c r="C207" t="s">
        <v>484</v>
      </c>
      <c r="D207" t="s">
        <v>489</v>
      </c>
      <c r="E207">
        <v>38</v>
      </c>
      <c r="F207" t="s">
        <v>483</v>
      </c>
    </row>
    <row r="208" spans="1:6">
      <c r="A208" t="s">
        <v>490</v>
      </c>
      <c r="B208">
        <v>44200</v>
      </c>
      <c r="C208" t="s">
        <v>484</v>
      </c>
      <c r="D208" t="s">
        <v>491</v>
      </c>
      <c r="E208">
        <v>38</v>
      </c>
      <c r="F208" t="s">
        <v>483</v>
      </c>
    </row>
    <row r="209" spans="1:6">
      <c r="A209" t="s">
        <v>492</v>
      </c>
      <c r="B209">
        <v>44200</v>
      </c>
      <c r="C209" t="s">
        <v>484</v>
      </c>
      <c r="D209" t="s">
        <v>212</v>
      </c>
      <c r="E209">
        <v>35</v>
      </c>
      <c r="F209" t="s">
        <v>483</v>
      </c>
    </row>
    <row r="210" spans="1:6">
      <c r="A210" t="s">
        <v>493</v>
      </c>
      <c r="B210">
        <v>44200</v>
      </c>
      <c r="C210" t="s">
        <v>484</v>
      </c>
      <c r="D210" t="s">
        <v>85</v>
      </c>
      <c r="E210">
        <v>35</v>
      </c>
      <c r="F210" t="s">
        <v>483</v>
      </c>
    </row>
    <row r="211" spans="1:6">
      <c r="A211" t="s">
        <v>494</v>
      </c>
      <c r="B211">
        <v>44200</v>
      </c>
      <c r="C211" t="s">
        <v>484</v>
      </c>
      <c r="D211" t="s">
        <v>93</v>
      </c>
      <c r="E211">
        <v>35</v>
      </c>
      <c r="F211" t="s">
        <v>483</v>
      </c>
    </row>
    <row r="212" spans="1:6">
      <c r="A212" t="s">
        <v>495</v>
      </c>
      <c r="B212">
        <v>44200</v>
      </c>
      <c r="C212" t="s">
        <v>484</v>
      </c>
      <c r="D212" t="s">
        <v>110</v>
      </c>
      <c r="E212">
        <v>34</v>
      </c>
      <c r="F212" t="s">
        <v>483</v>
      </c>
    </row>
    <row r="213" spans="1:6">
      <c r="A213" t="s">
        <v>496</v>
      </c>
      <c r="B213">
        <v>44200</v>
      </c>
      <c r="C213" t="s">
        <v>484</v>
      </c>
      <c r="D213" t="s">
        <v>218</v>
      </c>
      <c r="E213">
        <v>34</v>
      </c>
      <c r="F213" t="s">
        <v>483</v>
      </c>
    </row>
    <row r="214" spans="1:6">
      <c r="A214" t="s">
        <v>497</v>
      </c>
      <c r="B214">
        <v>44200</v>
      </c>
      <c r="C214" t="s">
        <v>484</v>
      </c>
      <c r="D214" t="s">
        <v>87</v>
      </c>
      <c r="E214">
        <v>34</v>
      </c>
      <c r="F214" t="s">
        <v>483</v>
      </c>
    </row>
    <row r="215" spans="1:6">
      <c r="A215" t="s">
        <v>498</v>
      </c>
      <c r="B215">
        <v>44200</v>
      </c>
      <c r="C215" t="s">
        <v>484</v>
      </c>
      <c r="D215" t="s">
        <v>499</v>
      </c>
      <c r="E215">
        <v>34</v>
      </c>
      <c r="F215" t="s">
        <v>483</v>
      </c>
    </row>
    <row r="216" spans="1:6">
      <c r="A216" t="s">
        <v>500</v>
      </c>
      <c r="B216">
        <v>44200</v>
      </c>
      <c r="C216" t="s">
        <v>484</v>
      </c>
      <c r="D216" t="s">
        <v>191</v>
      </c>
      <c r="E216">
        <v>32</v>
      </c>
      <c r="F216" t="s">
        <v>483</v>
      </c>
    </row>
    <row r="217" spans="1:6">
      <c r="A217" t="s">
        <v>501</v>
      </c>
      <c r="B217">
        <v>44200</v>
      </c>
      <c r="C217" t="s">
        <v>503</v>
      </c>
      <c r="D217" t="s">
        <v>140</v>
      </c>
      <c r="E217">
        <v>31</v>
      </c>
      <c r="F217" t="s">
        <v>502</v>
      </c>
    </row>
    <row r="218" spans="1:6">
      <c r="A218" t="s">
        <v>504</v>
      </c>
      <c r="B218">
        <v>44730</v>
      </c>
      <c r="C218" t="s">
        <v>506</v>
      </c>
      <c r="D218" t="s">
        <v>142</v>
      </c>
      <c r="E218">
        <v>30</v>
      </c>
      <c r="F218" t="s">
        <v>505</v>
      </c>
    </row>
    <row r="219" spans="1:6">
      <c r="A219" t="s">
        <v>507</v>
      </c>
      <c r="B219">
        <v>44200</v>
      </c>
      <c r="C219" t="s">
        <v>503</v>
      </c>
      <c r="D219" t="s">
        <v>129</v>
      </c>
      <c r="E219">
        <v>30</v>
      </c>
      <c r="F219" t="s">
        <v>502</v>
      </c>
    </row>
    <row r="220" spans="1:6">
      <c r="A220" t="s">
        <v>508</v>
      </c>
      <c r="B220">
        <v>44200</v>
      </c>
      <c r="C220" t="s">
        <v>503</v>
      </c>
      <c r="D220" t="s">
        <v>93</v>
      </c>
      <c r="E220">
        <v>30</v>
      </c>
      <c r="F220" t="s">
        <v>502</v>
      </c>
    </row>
    <row r="221" spans="1:6">
      <c r="A221" t="s">
        <v>509</v>
      </c>
      <c r="B221">
        <v>44200</v>
      </c>
      <c r="C221" t="s">
        <v>511</v>
      </c>
      <c r="D221">
        <v>104</v>
      </c>
      <c r="E221">
        <v>30</v>
      </c>
      <c r="F221" t="s">
        <v>510</v>
      </c>
    </row>
    <row r="222" spans="1:6">
      <c r="A222" t="s">
        <v>512</v>
      </c>
      <c r="B222">
        <v>45190</v>
      </c>
      <c r="E222">
        <v>44</v>
      </c>
      <c r="F222" t="s">
        <v>513</v>
      </c>
    </row>
    <row r="223" spans="1:6">
      <c r="A223" t="s">
        <v>514</v>
      </c>
      <c r="B223">
        <v>45130</v>
      </c>
      <c r="C223" t="s">
        <v>516</v>
      </c>
      <c r="D223" t="s">
        <v>87</v>
      </c>
      <c r="E223">
        <v>33</v>
      </c>
      <c r="F223" t="s">
        <v>515</v>
      </c>
    </row>
    <row r="224" spans="1:6">
      <c r="A224" t="s">
        <v>517</v>
      </c>
      <c r="B224">
        <v>45130</v>
      </c>
      <c r="C224" t="s">
        <v>516</v>
      </c>
      <c r="D224" t="s">
        <v>93</v>
      </c>
      <c r="E224">
        <v>33</v>
      </c>
      <c r="F224" t="s">
        <v>515</v>
      </c>
    </row>
    <row r="225" spans="1:6">
      <c r="A225" t="s">
        <v>518</v>
      </c>
      <c r="B225">
        <v>45130</v>
      </c>
      <c r="C225" t="s">
        <v>516</v>
      </c>
      <c r="D225" t="s">
        <v>85</v>
      </c>
      <c r="E225">
        <v>31</v>
      </c>
      <c r="F225" t="s">
        <v>515</v>
      </c>
    </row>
    <row r="226" spans="1:6">
      <c r="A226" t="s">
        <v>519</v>
      </c>
      <c r="B226">
        <v>45130</v>
      </c>
      <c r="C226" t="s">
        <v>516</v>
      </c>
      <c r="D226" t="s">
        <v>110</v>
      </c>
      <c r="E226">
        <v>31</v>
      </c>
      <c r="F226" t="s">
        <v>515</v>
      </c>
    </row>
    <row r="227" spans="1:6">
      <c r="A227" t="s">
        <v>520</v>
      </c>
      <c r="B227">
        <v>45111</v>
      </c>
      <c r="C227" t="s">
        <v>522</v>
      </c>
      <c r="D227" t="s">
        <v>142</v>
      </c>
      <c r="E227">
        <v>25</v>
      </c>
      <c r="F227" t="s">
        <v>521</v>
      </c>
    </row>
    <row r="228" spans="1:6">
      <c r="A228" t="s">
        <v>523</v>
      </c>
      <c r="B228">
        <v>45111</v>
      </c>
      <c r="C228" t="s">
        <v>522</v>
      </c>
      <c r="D228" t="s">
        <v>125</v>
      </c>
      <c r="E228">
        <v>25</v>
      </c>
      <c r="F228" t="s">
        <v>521</v>
      </c>
    </row>
    <row r="229" spans="1:6">
      <c r="A229" t="s">
        <v>524</v>
      </c>
      <c r="B229">
        <v>45111</v>
      </c>
      <c r="C229" t="s">
        <v>526</v>
      </c>
      <c r="E229">
        <v>24</v>
      </c>
      <c r="F229" t="s">
        <v>525</v>
      </c>
    </row>
    <row r="230" spans="1:6">
      <c r="A230" t="s">
        <v>527</v>
      </c>
      <c r="B230">
        <v>45111</v>
      </c>
      <c r="C230" t="s">
        <v>529</v>
      </c>
      <c r="D230" t="s">
        <v>530</v>
      </c>
      <c r="E230">
        <v>24</v>
      </c>
      <c r="F230" t="s">
        <v>528</v>
      </c>
    </row>
    <row r="231" spans="1:6">
      <c r="A231" t="s">
        <v>531</v>
      </c>
      <c r="B231">
        <v>45140</v>
      </c>
      <c r="C231" t="s">
        <v>533</v>
      </c>
      <c r="D231" t="s">
        <v>85</v>
      </c>
      <c r="E231">
        <v>24</v>
      </c>
      <c r="F231" t="s">
        <v>532</v>
      </c>
    </row>
    <row r="232" spans="1:6">
      <c r="A232" t="s">
        <v>534</v>
      </c>
      <c r="B232">
        <v>45140</v>
      </c>
      <c r="C232" t="s">
        <v>533</v>
      </c>
      <c r="D232" t="s">
        <v>218</v>
      </c>
      <c r="E232">
        <v>24</v>
      </c>
      <c r="F232" t="s">
        <v>535</v>
      </c>
    </row>
    <row r="233" spans="1:6">
      <c r="A233" t="s">
        <v>536</v>
      </c>
      <c r="B233">
        <v>45140</v>
      </c>
      <c r="C233" t="s">
        <v>533</v>
      </c>
      <c r="D233" t="s">
        <v>191</v>
      </c>
      <c r="E233">
        <v>24</v>
      </c>
      <c r="F233" t="s">
        <v>535</v>
      </c>
    </row>
    <row r="234" spans="1:6">
      <c r="A234" t="s">
        <v>537</v>
      </c>
      <c r="B234">
        <v>45140</v>
      </c>
      <c r="C234" t="s">
        <v>533</v>
      </c>
      <c r="D234" t="s">
        <v>93</v>
      </c>
      <c r="E234">
        <v>24</v>
      </c>
      <c r="F234" t="s">
        <v>532</v>
      </c>
    </row>
    <row r="235" spans="1:6">
      <c r="A235" t="s">
        <v>538</v>
      </c>
      <c r="B235">
        <v>45111</v>
      </c>
      <c r="C235" t="s">
        <v>540</v>
      </c>
      <c r="D235" t="s">
        <v>85</v>
      </c>
      <c r="E235">
        <v>24</v>
      </c>
      <c r="F235" t="s">
        <v>539</v>
      </c>
    </row>
    <row r="236" spans="1:6">
      <c r="A236" t="s">
        <v>541</v>
      </c>
      <c r="B236">
        <v>45113</v>
      </c>
      <c r="C236" t="s">
        <v>543</v>
      </c>
      <c r="D236">
        <v>102</v>
      </c>
      <c r="E236">
        <v>24</v>
      </c>
      <c r="F236" t="s">
        <v>542</v>
      </c>
    </row>
    <row r="237" spans="1:6">
      <c r="A237" t="s">
        <v>544</v>
      </c>
      <c r="B237">
        <v>45113</v>
      </c>
      <c r="C237" t="s">
        <v>543</v>
      </c>
      <c r="D237">
        <v>103</v>
      </c>
      <c r="E237">
        <v>24</v>
      </c>
      <c r="F237" t="s">
        <v>542</v>
      </c>
    </row>
    <row r="238" spans="1:6">
      <c r="A238" t="s">
        <v>545</v>
      </c>
      <c r="B238">
        <v>45113</v>
      </c>
      <c r="C238" t="s">
        <v>543</v>
      </c>
      <c r="D238">
        <v>101</v>
      </c>
      <c r="E238">
        <v>23</v>
      </c>
      <c r="F238" t="s">
        <v>542</v>
      </c>
    </row>
    <row r="239" spans="1:6">
      <c r="A239" t="s">
        <v>546</v>
      </c>
      <c r="B239">
        <v>45111</v>
      </c>
      <c r="C239" t="s">
        <v>522</v>
      </c>
      <c r="D239" t="s">
        <v>116</v>
      </c>
      <c r="E239">
        <v>23</v>
      </c>
      <c r="F239" t="s">
        <v>521</v>
      </c>
    </row>
    <row r="240" spans="1:6">
      <c r="A240" t="s">
        <v>547</v>
      </c>
      <c r="B240">
        <v>45113</v>
      </c>
      <c r="C240" t="s">
        <v>549</v>
      </c>
      <c r="D240" t="s">
        <v>284</v>
      </c>
      <c r="E240">
        <v>23</v>
      </c>
      <c r="F240" t="s">
        <v>548</v>
      </c>
    </row>
    <row r="241" spans="1:6">
      <c r="A241" t="s">
        <v>550</v>
      </c>
      <c r="B241">
        <v>45113</v>
      </c>
      <c r="C241" t="s">
        <v>549</v>
      </c>
      <c r="D241" t="s">
        <v>551</v>
      </c>
      <c r="E241">
        <v>23</v>
      </c>
      <c r="F241" t="s">
        <v>548</v>
      </c>
    </row>
    <row r="242" spans="1:6">
      <c r="A242" t="s">
        <v>552</v>
      </c>
      <c r="B242">
        <v>46910</v>
      </c>
      <c r="E242">
        <v>35</v>
      </c>
      <c r="F242" t="s">
        <v>553</v>
      </c>
    </row>
    <row r="243" spans="1:6">
      <c r="A243" t="s">
        <v>554</v>
      </c>
      <c r="B243">
        <v>46230</v>
      </c>
      <c r="C243" t="s">
        <v>556</v>
      </c>
      <c r="D243">
        <v>704</v>
      </c>
      <c r="E243">
        <v>27</v>
      </c>
      <c r="F243" t="s">
        <v>555</v>
      </c>
    </row>
    <row r="244" spans="1:6">
      <c r="A244" t="s">
        <v>557</v>
      </c>
      <c r="B244">
        <v>46230</v>
      </c>
      <c r="C244" t="s">
        <v>556</v>
      </c>
      <c r="D244">
        <v>706</v>
      </c>
      <c r="E244">
        <v>27</v>
      </c>
      <c r="F244" t="s">
        <v>555</v>
      </c>
    </row>
    <row r="245" spans="1:6">
      <c r="A245" t="s">
        <v>558</v>
      </c>
      <c r="B245">
        <v>46230</v>
      </c>
      <c r="C245" t="s">
        <v>560</v>
      </c>
      <c r="D245" t="s">
        <v>85</v>
      </c>
      <c r="E245">
        <v>26</v>
      </c>
      <c r="F245" t="s">
        <v>559</v>
      </c>
    </row>
    <row r="246" spans="1:6">
      <c r="A246" t="s">
        <v>561</v>
      </c>
      <c r="B246">
        <v>46230</v>
      </c>
      <c r="C246" t="s">
        <v>560</v>
      </c>
      <c r="D246" t="s">
        <v>93</v>
      </c>
      <c r="E246">
        <v>26</v>
      </c>
      <c r="F246" t="s">
        <v>559</v>
      </c>
    </row>
    <row r="247" spans="1:6">
      <c r="A247" t="s">
        <v>562</v>
      </c>
      <c r="B247">
        <v>46230</v>
      </c>
      <c r="C247" t="s">
        <v>560</v>
      </c>
      <c r="D247" t="s">
        <v>87</v>
      </c>
      <c r="E247">
        <v>26</v>
      </c>
      <c r="F247" t="s">
        <v>559</v>
      </c>
    </row>
    <row r="248" spans="1:6">
      <c r="A248" t="s">
        <v>563</v>
      </c>
      <c r="B248">
        <v>46230</v>
      </c>
      <c r="C248" t="s">
        <v>565</v>
      </c>
      <c r="D248" t="s">
        <v>566</v>
      </c>
      <c r="E248">
        <v>25</v>
      </c>
      <c r="F248" t="s">
        <v>564</v>
      </c>
    </row>
    <row r="249" spans="1:6">
      <c r="A249" t="s">
        <v>567</v>
      </c>
      <c r="B249">
        <v>46230</v>
      </c>
      <c r="C249" t="s">
        <v>569</v>
      </c>
      <c r="D249" t="s">
        <v>261</v>
      </c>
      <c r="E249">
        <v>25</v>
      </c>
      <c r="F249" t="s">
        <v>568</v>
      </c>
    </row>
    <row r="250" spans="1:6">
      <c r="A250" t="s">
        <v>570</v>
      </c>
      <c r="B250">
        <v>46230</v>
      </c>
      <c r="C250" t="s">
        <v>572</v>
      </c>
      <c r="D250" t="s">
        <v>471</v>
      </c>
      <c r="E250">
        <v>25</v>
      </c>
      <c r="F250" t="s">
        <v>571</v>
      </c>
    </row>
    <row r="251" spans="1:6">
      <c r="A251" t="s">
        <v>573</v>
      </c>
      <c r="B251">
        <v>46230</v>
      </c>
      <c r="C251" t="s">
        <v>572</v>
      </c>
      <c r="D251" t="s">
        <v>574</v>
      </c>
      <c r="E251">
        <v>25</v>
      </c>
      <c r="F251" t="s">
        <v>571</v>
      </c>
    </row>
    <row r="252" spans="1:6">
      <c r="A252" t="s">
        <v>575</v>
      </c>
      <c r="B252">
        <v>46230</v>
      </c>
      <c r="C252" t="s">
        <v>565</v>
      </c>
      <c r="D252" t="s">
        <v>286</v>
      </c>
      <c r="E252">
        <v>25</v>
      </c>
      <c r="F252" t="s">
        <v>564</v>
      </c>
    </row>
    <row r="253" spans="1:6">
      <c r="A253" t="s">
        <v>576</v>
      </c>
      <c r="B253">
        <v>46150</v>
      </c>
      <c r="C253" t="s">
        <v>578</v>
      </c>
      <c r="D253" t="s">
        <v>566</v>
      </c>
      <c r="E253">
        <v>25</v>
      </c>
      <c r="F253" t="s">
        <v>577</v>
      </c>
    </row>
    <row r="254" spans="1:6">
      <c r="A254" t="s">
        <v>579</v>
      </c>
      <c r="B254">
        <v>46150</v>
      </c>
      <c r="C254" t="s">
        <v>578</v>
      </c>
      <c r="D254" t="s">
        <v>140</v>
      </c>
      <c r="E254">
        <v>25</v>
      </c>
      <c r="F254" t="s">
        <v>577</v>
      </c>
    </row>
    <row r="255" spans="1:6">
      <c r="A255" t="s">
        <v>580</v>
      </c>
      <c r="B255">
        <v>46840</v>
      </c>
      <c r="C255" t="s">
        <v>582</v>
      </c>
      <c r="D255" t="s">
        <v>85</v>
      </c>
      <c r="E255">
        <v>25</v>
      </c>
      <c r="F255" t="s">
        <v>581</v>
      </c>
    </row>
    <row r="256" spans="1:6">
      <c r="A256" t="s">
        <v>583</v>
      </c>
      <c r="B256">
        <v>46840</v>
      </c>
      <c r="C256" t="s">
        <v>582</v>
      </c>
      <c r="D256" t="s">
        <v>87</v>
      </c>
      <c r="E256">
        <v>25</v>
      </c>
      <c r="F256" t="s">
        <v>581</v>
      </c>
    </row>
    <row r="257" spans="1:6">
      <c r="A257" t="s">
        <v>584</v>
      </c>
      <c r="B257">
        <v>46840</v>
      </c>
      <c r="C257" t="s">
        <v>582</v>
      </c>
      <c r="D257" t="s">
        <v>110</v>
      </c>
      <c r="E257">
        <v>25</v>
      </c>
      <c r="F257" t="s">
        <v>581</v>
      </c>
    </row>
    <row r="258" spans="1:6">
      <c r="A258" t="s">
        <v>585</v>
      </c>
      <c r="B258">
        <v>46840</v>
      </c>
      <c r="C258" t="s">
        <v>582</v>
      </c>
      <c r="D258" t="s">
        <v>93</v>
      </c>
      <c r="E258">
        <v>25</v>
      </c>
      <c r="F258" t="s">
        <v>581</v>
      </c>
    </row>
    <row r="259" spans="1:6">
      <c r="A259" t="s">
        <v>586</v>
      </c>
      <c r="B259">
        <v>46230</v>
      </c>
      <c r="C259" t="s">
        <v>588</v>
      </c>
      <c r="D259" t="s">
        <v>218</v>
      </c>
      <c r="E259">
        <v>25</v>
      </c>
      <c r="F259" t="s">
        <v>587</v>
      </c>
    </row>
    <row r="260" spans="1:6">
      <c r="A260" t="s">
        <v>589</v>
      </c>
      <c r="B260">
        <v>46150</v>
      </c>
      <c r="C260" t="s">
        <v>578</v>
      </c>
      <c r="D260" t="s">
        <v>118</v>
      </c>
      <c r="E260">
        <v>25</v>
      </c>
      <c r="F260" t="s">
        <v>577</v>
      </c>
    </row>
    <row r="261" spans="1:6">
      <c r="A261" t="s">
        <v>590</v>
      </c>
      <c r="B261">
        <v>46150</v>
      </c>
      <c r="C261" t="s">
        <v>578</v>
      </c>
      <c r="D261" t="s">
        <v>218</v>
      </c>
      <c r="E261">
        <v>25</v>
      </c>
      <c r="F261" t="s">
        <v>577</v>
      </c>
    </row>
    <row r="262" spans="1:6">
      <c r="A262" t="s">
        <v>591</v>
      </c>
      <c r="B262">
        <v>47113</v>
      </c>
      <c r="C262" t="s">
        <v>593</v>
      </c>
      <c r="D262" t="s">
        <v>118</v>
      </c>
      <c r="E262">
        <v>48</v>
      </c>
      <c r="F262" t="s">
        <v>592</v>
      </c>
    </row>
    <row r="263" spans="1:6">
      <c r="A263" t="s">
        <v>594</v>
      </c>
      <c r="B263">
        <v>47113</v>
      </c>
      <c r="C263" t="s">
        <v>593</v>
      </c>
      <c r="D263" t="s">
        <v>125</v>
      </c>
      <c r="E263">
        <v>48</v>
      </c>
      <c r="F263" t="s">
        <v>592</v>
      </c>
    </row>
    <row r="264" spans="1:6">
      <c r="A264" t="s">
        <v>595</v>
      </c>
      <c r="B264">
        <v>47113</v>
      </c>
      <c r="C264" t="s">
        <v>593</v>
      </c>
      <c r="D264" t="s">
        <v>142</v>
      </c>
      <c r="E264">
        <v>45</v>
      </c>
      <c r="F264" t="s">
        <v>592</v>
      </c>
    </row>
    <row r="265" spans="1:6">
      <c r="A265" t="s">
        <v>596</v>
      </c>
      <c r="B265">
        <v>47113</v>
      </c>
      <c r="C265" t="s">
        <v>593</v>
      </c>
      <c r="D265" t="s">
        <v>129</v>
      </c>
      <c r="E265">
        <v>43</v>
      </c>
      <c r="F265" t="s">
        <v>592</v>
      </c>
    </row>
    <row r="266" spans="1:6">
      <c r="A266" t="s">
        <v>597</v>
      </c>
      <c r="B266">
        <v>47113</v>
      </c>
      <c r="C266" t="s">
        <v>593</v>
      </c>
      <c r="D266" t="s">
        <v>140</v>
      </c>
      <c r="E266">
        <v>43</v>
      </c>
      <c r="F266" t="s">
        <v>592</v>
      </c>
    </row>
    <row r="267" spans="1:6">
      <c r="A267" t="s">
        <v>598</v>
      </c>
      <c r="B267">
        <v>47113</v>
      </c>
      <c r="C267" t="s">
        <v>593</v>
      </c>
      <c r="D267" t="s">
        <v>110</v>
      </c>
      <c r="E267">
        <v>43</v>
      </c>
      <c r="F267" t="s">
        <v>592</v>
      </c>
    </row>
    <row r="268" spans="1:6">
      <c r="A268" t="s">
        <v>599</v>
      </c>
      <c r="B268">
        <v>47113</v>
      </c>
      <c r="C268" t="s">
        <v>593</v>
      </c>
      <c r="D268" t="s">
        <v>87</v>
      </c>
      <c r="E268">
        <v>42</v>
      </c>
      <c r="F268" t="s">
        <v>592</v>
      </c>
    </row>
    <row r="269" spans="1:6">
      <c r="A269" t="s">
        <v>600</v>
      </c>
      <c r="B269">
        <v>47250</v>
      </c>
      <c r="E269">
        <v>41</v>
      </c>
      <c r="F269" t="s">
        <v>601</v>
      </c>
    </row>
    <row r="270" spans="1:6">
      <c r="A270" t="s">
        <v>602</v>
      </c>
      <c r="B270">
        <v>47113</v>
      </c>
      <c r="C270" t="s">
        <v>593</v>
      </c>
      <c r="D270" t="s">
        <v>93</v>
      </c>
      <c r="E270">
        <v>40</v>
      </c>
      <c r="F270" t="s">
        <v>592</v>
      </c>
    </row>
    <row r="271" spans="1:6">
      <c r="A271" t="s">
        <v>603</v>
      </c>
      <c r="B271">
        <v>47190</v>
      </c>
      <c r="C271" t="s">
        <v>605</v>
      </c>
      <c r="D271" t="s">
        <v>85</v>
      </c>
      <c r="E271">
        <v>37</v>
      </c>
      <c r="F271" t="s">
        <v>604</v>
      </c>
    </row>
    <row r="272" spans="1:6">
      <c r="A272" t="s">
        <v>606</v>
      </c>
      <c r="B272">
        <v>47190</v>
      </c>
      <c r="C272" t="s">
        <v>605</v>
      </c>
      <c r="D272" t="s">
        <v>93</v>
      </c>
      <c r="E272">
        <v>37</v>
      </c>
      <c r="F272" t="s">
        <v>604</v>
      </c>
    </row>
    <row r="273" spans="1:6">
      <c r="A273" t="s">
        <v>607</v>
      </c>
      <c r="B273">
        <v>47190</v>
      </c>
      <c r="C273" t="s">
        <v>605</v>
      </c>
      <c r="D273" t="s">
        <v>110</v>
      </c>
      <c r="E273">
        <v>37</v>
      </c>
      <c r="F273" t="s">
        <v>604</v>
      </c>
    </row>
    <row r="274" spans="1:6">
      <c r="A274" t="s">
        <v>608</v>
      </c>
      <c r="B274">
        <v>47190</v>
      </c>
      <c r="C274" t="s">
        <v>605</v>
      </c>
      <c r="D274" t="s">
        <v>87</v>
      </c>
      <c r="E274">
        <v>37</v>
      </c>
      <c r="F274" t="s">
        <v>604</v>
      </c>
    </row>
    <row r="275" spans="1:6">
      <c r="A275" t="s">
        <v>609</v>
      </c>
      <c r="B275">
        <v>47190</v>
      </c>
      <c r="C275" t="s">
        <v>611</v>
      </c>
      <c r="D275" t="s">
        <v>85</v>
      </c>
      <c r="E275">
        <v>35</v>
      </c>
      <c r="F275" t="s">
        <v>610</v>
      </c>
    </row>
    <row r="276" spans="1:6">
      <c r="A276" t="s">
        <v>612</v>
      </c>
      <c r="B276">
        <v>47190</v>
      </c>
      <c r="C276" t="s">
        <v>614</v>
      </c>
      <c r="D276" t="s">
        <v>212</v>
      </c>
      <c r="E276">
        <v>34</v>
      </c>
      <c r="F276" t="s">
        <v>613</v>
      </c>
    </row>
    <row r="277" spans="1:6">
      <c r="A277" t="s">
        <v>615</v>
      </c>
      <c r="B277">
        <v>47190</v>
      </c>
      <c r="C277" t="s">
        <v>614</v>
      </c>
      <c r="D277" t="s">
        <v>218</v>
      </c>
      <c r="E277">
        <v>34</v>
      </c>
      <c r="F277" t="s">
        <v>613</v>
      </c>
    </row>
    <row r="278" spans="1:6">
      <c r="A278" t="s">
        <v>616</v>
      </c>
      <c r="B278">
        <v>47111</v>
      </c>
      <c r="C278" t="s">
        <v>618</v>
      </c>
      <c r="D278">
        <v>304</v>
      </c>
      <c r="E278">
        <v>34</v>
      </c>
      <c r="F278" t="s">
        <v>617</v>
      </c>
    </row>
    <row r="279" spans="1:6">
      <c r="A279" t="s">
        <v>619</v>
      </c>
      <c r="B279">
        <v>47111</v>
      </c>
      <c r="C279" t="s">
        <v>618</v>
      </c>
      <c r="D279">
        <v>303</v>
      </c>
      <c r="E279">
        <v>34</v>
      </c>
      <c r="F279" t="s">
        <v>617</v>
      </c>
    </row>
    <row r="280" spans="1:6">
      <c r="A280" t="s">
        <v>620</v>
      </c>
      <c r="B280">
        <v>47111</v>
      </c>
      <c r="C280" t="s">
        <v>618</v>
      </c>
      <c r="D280">
        <v>302</v>
      </c>
      <c r="E280">
        <v>34</v>
      </c>
      <c r="F280" t="s">
        <v>617</v>
      </c>
    </row>
    <row r="281" spans="1:6">
      <c r="A281" t="s">
        <v>621</v>
      </c>
      <c r="B281">
        <v>47111</v>
      </c>
      <c r="C281" t="s">
        <v>618</v>
      </c>
      <c r="D281">
        <v>301</v>
      </c>
      <c r="E281">
        <v>33</v>
      </c>
      <c r="F281" t="s">
        <v>617</v>
      </c>
    </row>
    <row r="282" spans="1:6">
      <c r="A282" t="s">
        <v>622</v>
      </c>
      <c r="B282">
        <v>48121</v>
      </c>
      <c r="C282" t="s">
        <v>624</v>
      </c>
      <c r="D282" t="s">
        <v>625</v>
      </c>
      <c r="E282">
        <v>43</v>
      </c>
      <c r="F282" t="s">
        <v>623</v>
      </c>
    </row>
    <row r="283" spans="1:6">
      <c r="A283" t="s">
        <v>626</v>
      </c>
      <c r="B283">
        <v>48127</v>
      </c>
      <c r="C283" t="s">
        <v>628</v>
      </c>
      <c r="D283" t="s">
        <v>142</v>
      </c>
      <c r="E283">
        <v>39</v>
      </c>
      <c r="F283" t="s">
        <v>627</v>
      </c>
    </row>
    <row r="284" spans="1:6">
      <c r="A284" t="s">
        <v>629</v>
      </c>
      <c r="B284">
        <v>48127</v>
      </c>
      <c r="C284" t="s">
        <v>628</v>
      </c>
      <c r="D284" t="s">
        <v>127</v>
      </c>
      <c r="E284">
        <v>39</v>
      </c>
      <c r="F284" t="s">
        <v>627</v>
      </c>
    </row>
    <row r="285" spans="1:6">
      <c r="A285" t="s">
        <v>630</v>
      </c>
      <c r="B285">
        <v>48125</v>
      </c>
      <c r="C285" t="s">
        <v>632</v>
      </c>
      <c r="D285" t="s">
        <v>93</v>
      </c>
      <c r="E285">
        <v>36</v>
      </c>
      <c r="F285" t="s">
        <v>631</v>
      </c>
    </row>
    <row r="286" spans="1:6">
      <c r="A286" t="s">
        <v>633</v>
      </c>
      <c r="B286">
        <v>48125</v>
      </c>
      <c r="C286" t="s">
        <v>632</v>
      </c>
      <c r="D286" t="s">
        <v>110</v>
      </c>
      <c r="E286">
        <v>36</v>
      </c>
      <c r="F286" t="s">
        <v>631</v>
      </c>
    </row>
    <row r="287" spans="1:6">
      <c r="A287" t="s">
        <v>634</v>
      </c>
      <c r="B287">
        <v>48125</v>
      </c>
      <c r="C287" t="s">
        <v>632</v>
      </c>
      <c r="D287" t="s">
        <v>87</v>
      </c>
      <c r="E287">
        <v>36</v>
      </c>
      <c r="F287" t="s">
        <v>631</v>
      </c>
    </row>
    <row r="288" spans="1:6">
      <c r="A288" t="s">
        <v>635</v>
      </c>
      <c r="B288">
        <v>48125</v>
      </c>
      <c r="C288" t="s">
        <v>632</v>
      </c>
      <c r="D288" t="s">
        <v>140</v>
      </c>
      <c r="E288">
        <v>36</v>
      </c>
      <c r="F288" t="s">
        <v>631</v>
      </c>
    </row>
    <row r="289" spans="1:6">
      <c r="A289" t="s">
        <v>636</v>
      </c>
      <c r="B289">
        <v>48127</v>
      </c>
      <c r="C289" t="s">
        <v>628</v>
      </c>
      <c r="D289" t="s">
        <v>93</v>
      </c>
      <c r="E289">
        <v>35</v>
      </c>
      <c r="F289" t="s">
        <v>627</v>
      </c>
    </row>
    <row r="290" spans="1:6">
      <c r="A290" t="s">
        <v>637</v>
      </c>
      <c r="B290">
        <v>48125</v>
      </c>
      <c r="C290" t="s">
        <v>632</v>
      </c>
      <c r="D290" t="s">
        <v>85</v>
      </c>
      <c r="E290">
        <v>35</v>
      </c>
      <c r="F290" t="s">
        <v>631</v>
      </c>
    </row>
    <row r="291" spans="1:6">
      <c r="A291" t="s">
        <v>638</v>
      </c>
      <c r="B291">
        <v>48125</v>
      </c>
      <c r="C291" t="s">
        <v>632</v>
      </c>
      <c r="D291" t="s">
        <v>129</v>
      </c>
      <c r="E291">
        <v>34</v>
      </c>
      <c r="F291" t="s">
        <v>631</v>
      </c>
    </row>
    <row r="292" spans="1:6">
      <c r="A292" t="s">
        <v>639</v>
      </c>
      <c r="B292">
        <v>48123</v>
      </c>
      <c r="C292" t="s">
        <v>641</v>
      </c>
      <c r="E292">
        <v>34</v>
      </c>
      <c r="F292" t="s">
        <v>640</v>
      </c>
    </row>
    <row r="293" spans="1:6">
      <c r="A293" t="s">
        <v>642</v>
      </c>
      <c r="B293">
        <v>48240</v>
      </c>
      <c r="C293" t="s">
        <v>644</v>
      </c>
      <c r="D293" t="s">
        <v>645</v>
      </c>
      <c r="E293">
        <v>31</v>
      </c>
      <c r="F293" t="s">
        <v>643</v>
      </c>
    </row>
    <row r="294" spans="1:6">
      <c r="A294" t="s">
        <v>646</v>
      </c>
      <c r="B294">
        <v>48127</v>
      </c>
      <c r="C294" t="s">
        <v>628</v>
      </c>
      <c r="D294" t="s">
        <v>647</v>
      </c>
      <c r="E294">
        <v>30</v>
      </c>
      <c r="F294" t="s">
        <v>627</v>
      </c>
    </row>
    <row r="295" spans="1:6">
      <c r="A295" t="s">
        <v>648</v>
      </c>
      <c r="B295">
        <v>48127</v>
      </c>
      <c r="C295" t="s">
        <v>628</v>
      </c>
      <c r="D295" t="s">
        <v>649</v>
      </c>
      <c r="E295">
        <v>30</v>
      </c>
      <c r="F295" t="s">
        <v>627</v>
      </c>
    </row>
    <row r="296" spans="1:6">
      <c r="A296" t="s">
        <v>650</v>
      </c>
      <c r="B296">
        <v>48127</v>
      </c>
      <c r="C296" t="s">
        <v>628</v>
      </c>
      <c r="D296" t="s">
        <v>114</v>
      </c>
      <c r="E296">
        <v>30</v>
      </c>
      <c r="F296" t="s">
        <v>627</v>
      </c>
    </row>
    <row r="297" spans="1:6">
      <c r="A297" t="s">
        <v>651</v>
      </c>
      <c r="B297">
        <v>48127</v>
      </c>
      <c r="C297" t="s">
        <v>628</v>
      </c>
      <c r="D297" t="s">
        <v>112</v>
      </c>
      <c r="E297">
        <v>30</v>
      </c>
      <c r="F297" t="s">
        <v>627</v>
      </c>
    </row>
    <row r="298" spans="1:6">
      <c r="A298" t="s">
        <v>652</v>
      </c>
      <c r="B298">
        <v>48127</v>
      </c>
      <c r="C298" t="s">
        <v>628</v>
      </c>
      <c r="D298" t="s">
        <v>653</v>
      </c>
      <c r="E298">
        <v>30</v>
      </c>
      <c r="F298" t="s">
        <v>627</v>
      </c>
    </row>
    <row r="299" spans="1:6">
      <c r="A299" t="s">
        <v>654</v>
      </c>
      <c r="B299">
        <v>48127</v>
      </c>
      <c r="C299" t="s">
        <v>628</v>
      </c>
      <c r="D299" t="s">
        <v>655</v>
      </c>
      <c r="E299">
        <v>30</v>
      </c>
      <c r="F299" t="s">
        <v>627</v>
      </c>
    </row>
    <row r="300" spans="1:6">
      <c r="A300" t="s">
        <v>656</v>
      </c>
      <c r="B300">
        <v>48127</v>
      </c>
      <c r="C300" t="s">
        <v>628</v>
      </c>
      <c r="D300" t="s">
        <v>129</v>
      </c>
      <c r="E300">
        <v>29</v>
      </c>
      <c r="F300" t="s">
        <v>627</v>
      </c>
    </row>
    <row r="301" spans="1:6">
      <c r="A301" t="s">
        <v>657</v>
      </c>
      <c r="B301">
        <v>48170</v>
      </c>
      <c r="C301" t="s">
        <v>659</v>
      </c>
      <c r="D301">
        <v>103</v>
      </c>
      <c r="E301">
        <v>29</v>
      </c>
      <c r="F301" t="s">
        <v>658</v>
      </c>
    </row>
    <row r="302" spans="1:6">
      <c r="A302" t="s">
        <v>660</v>
      </c>
      <c r="B302">
        <v>50110</v>
      </c>
      <c r="C302" t="s">
        <v>662</v>
      </c>
      <c r="E302">
        <v>20</v>
      </c>
      <c r="F302" t="s">
        <v>661</v>
      </c>
    </row>
    <row r="303" spans="1:6">
      <c r="A303" t="s">
        <v>663</v>
      </c>
      <c r="B303">
        <v>50110</v>
      </c>
      <c r="D303" t="s">
        <v>665</v>
      </c>
      <c r="E303">
        <v>19</v>
      </c>
      <c r="F303" t="s">
        <v>664</v>
      </c>
    </row>
    <row r="304" spans="1:6">
      <c r="A304" t="s">
        <v>666</v>
      </c>
      <c r="B304">
        <v>50110</v>
      </c>
      <c r="C304" t="s">
        <v>668</v>
      </c>
      <c r="E304">
        <v>18</v>
      </c>
      <c r="F304" t="s">
        <v>667</v>
      </c>
    </row>
    <row r="305" spans="1:6">
      <c r="A305" t="s">
        <v>669</v>
      </c>
      <c r="B305">
        <v>50110</v>
      </c>
      <c r="D305" t="s">
        <v>671</v>
      </c>
      <c r="E305">
        <v>18</v>
      </c>
      <c r="F305" t="s">
        <v>670</v>
      </c>
    </row>
    <row r="306" spans="1:6">
      <c r="A306" t="s">
        <v>672</v>
      </c>
      <c r="B306">
        <v>50110</v>
      </c>
      <c r="D306" t="s">
        <v>674</v>
      </c>
      <c r="E306">
        <v>17</v>
      </c>
      <c r="F306" t="s">
        <v>673</v>
      </c>
    </row>
    <row r="307" spans="1:6">
      <c r="A307" t="s">
        <v>675</v>
      </c>
      <c r="B307">
        <v>50110</v>
      </c>
      <c r="D307" t="s">
        <v>677</v>
      </c>
      <c r="E307">
        <v>17</v>
      </c>
      <c r="F307" t="s">
        <v>676</v>
      </c>
    </row>
    <row r="308" spans="1:6">
      <c r="A308" t="s">
        <v>678</v>
      </c>
      <c r="B308">
        <v>50110</v>
      </c>
      <c r="D308" t="s">
        <v>680</v>
      </c>
      <c r="E308">
        <v>16</v>
      </c>
      <c r="F308" t="s">
        <v>679</v>
      </c>
    </row>
    <row r="309" spans="1:6">
      <c r="A309" t="s">
        <v>681</v>
      </c>
      <c r="B309">
        <v>50110</v>
      </c>
      <c r="C309" t="s">
        <v>683</v>
      </c>
      <c r="E309">
        <v>16</v>
      </c>
      <c r="F309" t="s">
        <v>682</v>
      </c>
    </row>
    <row r="310" spans="1:6">
      <c r="A310" t="s">
        <v>684</v>
      </c>
      <c r="B310">
        <v>50110</v>
      </c>
      <c r="D310" t="s">
        <v>686</v>
      </c>
      <c r="E310">
        <v>15</v>
      </c>
      <c r="F310" t="s">
        <v>685</v>
      </c>
    </row>
    <row r="311" spans="1:6">
      <c r="A311" t="s">
        <v>687</v>
      </c>
      <c r="B311">
        <v>50110</v>
      </c>
      <c r="D311" t="s">
        <v>689</v>
      </c>
      <c r="E311">
        <v>15</v>
      </c>
      <c r="F311" t="s">
        <v>688</v>
      </c>
    </row>
    <row r="312" spans="1:6">
      <c r="A312" t="s">
        <v>690</v>
      </c>
      <c r="B312">
        <v>50110</v>
      </c>
      <c r="D312" t="s">
        <v>692</v>
      </c>
      <c r="E312">
        <v>15</v>
      </c>
      <c r="F312" t="s">
        <v>691</v>
      </c>
    </row>
    <row r="313" spans="1:6">
      <c r="A313" t="s">
        <v>693</v>
      </c>
      <c r="B313">
        <v>50110</v>
      </c>
      <c r="D313" t="s">
        <v>694</v>
      </c>
      <c r="E313">
        <v>15</v>
      </c>
      <c r="F313" t="s">
        <v>691</v>
      </c>
    </row>
    <row r="314" spans="1:6">
      <c r="A314" t="s">
        <v>695</v>
      </c>
      <c r="B314">
        <v>50110</v>
      </c>
      <c r="D314" t="s">
        <v>696</v>
      </c>
      <c r="E314">
        <v>15</v>
      </c>
      <c r="F314" t="s">
        <v>691</v>
      </c>
    </row>
    <row r="315" spans="1:6">
      <c r="A315" t="s">
        <v>697</v>
      </c>
      <c r="B315">
        <v>50110</v>
      </c>
      <c r="C315" t="s">
        <v>699</v>
      </c>
      <c r="E315">
        <v>15</v>
      </c>
      <c r="F315" t="s">
        <v>698</v>
      </c>
    </row>
    <row r="316" spans="1:6">
      <c r="A316" t="s">
        <v>700</v>
      </c>
      <c r="B316">
        <v>50110</v>
      </c>
      <c r="D316" t="s">
        <v>702</v>
      </c>
      <c r="E316">
        <v>15</v>
      </c>
      <c r="F316" t="s">
        <v>701</v>
      </c>
    </row>
    <row r="317" spans="1:6">
      <c r="A317" t="s">
        <v>703</v>
      </c>
      <c r="B317">
        <v>50110</v>
      </c>
      <c r="D317" t="s">
        <v>705</v>
      </c>
      <c r="E317">
        <v>15</v>
      </c>
      <c r="F317" t="s">
        <v>704</v>
      </c>
    </row>
    <row r="318" spans="1:6">
      <c r="A318" t="s">
        <v>706</v>
      </c>
      <c r="B318">
        <v>50110</v>
      </c>
      <c r="D318" t="s">
        <v>708</v>
      </c>
      <c r="E318">
        <v>15</v>
      </c>
      <c r="F318" t="s">
        <v>707</v>
      </c>
    </row>
    <row r="319" spans="1:6">
      <c r="A319" t="s">
        <v>709</v>
      </c>
      <c r="B319">
        <v>50110</v>
      </c>
      <c r="D319" t="s">
        <v>711</v>
      </c>
      <c r="E319">
        <v>15</v>
      </c>
      <c r="F319" t="s">
        <v>710</v>
      </c>
    </row>
    <row r="320" spans="1:6">
      <c r="A320" t="s">
        <v>712</v>
      </c>
      <c r="B320">
        <v>50110</v>
      </c>
      <c r="D320" t="s">
        <v>714</v>
      </c>
      <c r="E320">
        <v>15</v>
      </c>
      <c r="F320" t="s">
        <v>713</v>
      </c>
    </row>
    <row r="321" spans="1:6">
      <c r="A321" t="s">
        <v>715</v>
      </c>
      <c r="B321">
        <v>50110</v>
      </c>
      <c r="D321" t="s">
        <v>717</v>
      </c>
      <c r="E321">
        <v>15</v>
      </c>
      <c r="F321" t="s">
        <v>716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2"/>
  <sheetViews>
    <sheetView workbookViewId="0">
      <selection activeCell="C9" sqref="C9"/>
    </sheetView>
  </sheetViews>
  <sheetFormatPr defaultRowHeight="16.5"/>
  <cols>
    <col min="1" max="2" width="13.625" bestFit="1" customWidth="1"/>
    <col min="3" max="3" width="54.125" bestFit="1" customWidth="1"/>
    <col min="4" max="4" width="29.875" bestFit="1" customWidth="1"/>
    <col min="5" max="5" width="15.25" bestFit="1" customWidth="1"/>
  </cols>
  <sheetData>
    <row r="1" spans="1:6">
      <c r="A1" s="2" t="s">
        <v>718</v>
      </c>
      <c r="B1" s="2" t="s">
        <v>17</v>
      </c>
      <c r="C1" s="2" t="s">
        <v>719</v>
      </c>
      <c r="D1" s="2" t="s">
        <v>19</v>
      </c>
      <c r="E1" s="2" t="s">
        <v>20</v>
      </c>
      <c r="F1" s="2" t="s">
        <v>21</v>
      </c>
    </row>
    <row r="2" spans="1:6">
      <c r="A2" s="2" t="s">
        <v>845</v>
      </c>
      <c r="B2" s="2">
        <v>11710</v>
      </c>
      <c r="C2" s="2" t="s">
        <v>722</v>
      </c>
      <c r="D2" s="2" t="s">
        <v>723</v>
      </c>
      <c r="E2" s="2" t="s">
        <v>724</v>
      </c>
      <c r="F2" s="2">
        <v>123</v>
      </c>
    </row>
    <row r="3" spans="1:6">
      <c r="A3" s="2" t="s">
        <v>844</v>
      </c>
      <c r="B3" s="2">
        <v>26350</v>
      </c>
      <c r="C3" s="2" t="s">
        <v>731</v>
      </c>
      <c r="D3" s="2" t="s">
        <v>732</v>
      </c>
      <c r="E3" s="2" t="s">
        <v>733</v>
      </c>
      <c r="F3" s="2">
        <v>108</v>
      </c>
    </row>
    <row r="4" spans="1:6">
      <c r="A4" s="2" t="s">
        <v>845</v>
      </c>
      <c r="B4" s="2">
        <v>26110</v>
      </c>
      <c r="C4" s="2" t="s">
        <v>725</v>
      </c>
      <c r="D4" s="2" t="s">
        <v>726</v>
      </c>
      <c r="E4" s="2" t="s">
        <v>727</v>
      </c>
      <c r="F4" s="2">
        <v>107</v>
      </c>
    </row>
    <row r="5" spans="1:6">
      <c r="A5" s="2" t="s">
        <v>844</v>
      </c>
      <c r="B5" s="2">
        <v>26350</v>
      </c>
      <c r="C5" s="2" t="s">
        <v>731</v>
      </c>
      <c r="D5" s="2" t="s">
        <v>732</v>
      </c>
      <c r="E5" s="2" t="s">
        <v>734</v>
      </c>
      <c r="F5" s="2">
        <v>87</v>
      </c>
    </row>
    <row r="6" spans="1:6">
      <c r="A6" s="2" t="s">
        <v>844</v>
      </c>
      <c r="B6" s="2">
        <v>26350</v>
      </c>
      <c r="C6" s="2" t="s">
        <v>731</v>
      </c>
      <c r="D6" s="2" t="s">
        <v>732</v>
      </c>
      <c r="E6" s="2" t="s">
        <v>735</v>
      </c>
      <c r="F6" s="2">
        <v>87</v>
      </c>
    </row>
    <row r="7" spans="1:6">
      <c r="A7" s="2" t="s">
        <v>845</v>
      </c>
      <c r="B7" s="2">
        <v>26290</v>
      </c>
      <c r="C7" s="2" t="s">
        <v>728</v>
      </c>
      <c r="D7" s="2" t="s">
        <v>729</v>
      </c>
      <c r="E7" s="2" t="s">
        <v>730</v>
      </c>
      <c r="F7" s="2">
        <v>63</v>
      </c>
    </row>
    <row r="8" spans="1:6">
      <c r="A8" s="2" t="s">
        <v>844</v>
      </c>
      <c r="B8" s="2">
        <v>41287</v>
      </c>
      <c r="C8" s="2" t="s">
        <v>769</v>
      </c>
      <c r="D8" s="2" t="s">
        <v>770</v>
      </c>
      <c r="E8" s="2">
        <v>105</v>
      </c>
      <c r="F8" s="2">
        <v>59</v>
      </c>
    </row>
    <row r="9" spans="1:6">
      <c r="A9" s="2" t="s">
        <v>844</v>
      </c>
      <c r="B9" s="2">
        <v>41287</v>
      </c>
      <c r="C9" s="2" t="s">
        <v>769</v>
      </c>
      <c r="D9" s="2" t="s">
        <v>770</v>
      </c>
      <c r="E9" s="2">
        <v>104</v>
      </c>
      <c r="F9" s="2">
        <v>57</v>
      </c>
    </row>
    <row r="10" spans="1:6">
      <c r="A10" s="2" t="s">
        <v>844</v>
      </c>
      <c r="B10" s="2">
        <v>41287</v>
      </c>
      <c r="C10" s="2" t="s">
        <v>769</v>
      </c>
      <c r="D10" s="2" t="s">
        <v>770</v>
      </c>
      <c r="E10" s="2">
        <v>103</v>
      </c>
      <c r="F10" s="2">
        <v>55</v>
      </c>
    </row>
    <row r="11" spans="1:6">
      <c r="A11" s="2" t="s">
        <v>844</v>
      </c>
      <c r="B11" s="2">
        <v>41287</v>
      </c>
      <c r="C11" s="2" t="s">
        <v>769</v>
      </c>
      <c r="D11" s="2" t="s">
        <v>770</v>
      </c>
      <c r="E11" s="2">
        <v>106</v>
      </c>
      <c r="F11" s="2">
        <v>54</v>
      </c>
    </row>
    <row r="12" spans="1:6">
      <c r="A12" s="2" t="s">
        <v>844</v>
      </c>
      <c r="B12" s="2">
        <v>41287</v>
      </c>
      <c r="C12" s="2" t="s">
        <v>769</v>
      </c>
      <c r="D12" s="2" t="s">
        <v>770</v>
      </c>
      <c r="E12" s="2">
        <v>102</v>
      </c>
      <c r="F12" s="2">
        <v>54</v>
      </c>
    </row>
    <row r="13" spans="1:6">
      <c r="A13" s="2" t="s">
        <v>844</v>
      </c>
      <c r="B13" s="2">
        <v>41287</v>
      </c>
      <c r="C13" s="2" t="s">
        <v>769</v>
      </c>
      <c r="D13" s="2" t="s">
        <v>770</v>
      </c>
      <c r="E13" s="2">
        <v>107</v>
      </c>
      <c r="F13" s="2">
        <v>53</v>
      </c>
    </row>
    <row r="14" spans="1:6">
      <c r="A14" s="2" t="s">
        <v>844</v>
      </c>
      <c r="B14" s="2">
        <v>41287</v>
      </c>
      <c r="C14" s="2" t="s">
        <v>769</v>
      </c>
      <c r="D14" s="2" t="s">
        <v>770</v>
      </c>
      <c r="E14" s="2">
        <v>101</v>
      </c>
      <c r="F14" s="2">
        <v>53</v>
      </c>
    </row>
    <row r="15" spans="1:6">
      <c r="A15" s="2" t="s">
        <v>844</v>
      </c>
      <c r="B15" s="2">
        <v>28200</v>
      </c>
      <c r="C15" s="2" t="s">
        <v>739</v>
      </c>
      <c r="D15" s="2" t="s">
        <v>740</v>
      </c>
      <c r="E15" s="2" t="s">
        <v>741</v>
      </c>
      <c r="F15" s="2">
        <v>51</v>
      </c>
    </row>
    <row r="16" spans="1:6">
      <c r="A16" s="2" t="s">
        <v>844</v>
      </c>
      <c r="B16" s="2">
        <v>41287</v>
      </c>
      <c r="C16" s="2" t="s">
        <v>769</v>
      </c>
      <c r="D16" s="2" t="s">
        <v>770</v>
      </c>
      <c r="E16" s="2">
        <v>108</v>
      </c>
      <c r="F16" s="2">
        <v>51</v>
      </c>
    </row>
    <row r="17" spans="1:6">
      <c r="A17" s="2" t="s">
        <v>845</v>
      </c>
      <c r="B17" s="2">
        <v>44200</v>
      </c>
      <c r="C17" s="2" t="s">
        <v>781</v>
      </c>
      <c r="D17" s="2" t="s">
        <v>782</v>
      </c>
      <c r="E17" s="2" t="s">
        <v>782</v>
      </c>
      <c r="F17" s="2">
        <v>51</v>
      </c>
    </row>
    <row r="18" spans="1:6">
      <c r="A18" s="2" t="s">
        <v>845</v>
      </c>
      <c r="B18" s="2">
        <v>30200</v>
      </c>
      <c r="C18" s="2" t="s">
        <v>750</v>
      </c>
      <c r="D18" s="2" t="s">
        <v>751</v>
      </c>
      <c r="E18" s="2" t="s">
        <v>760</v>
      </c>
      <c r="F18" s="2">
        <v>50</v>
      </c>
    </row>
    <row r="19" spans="1:6">
      <c r="A19" s="2" t="s">
        <v>844</v>
      </c>
      <c r="B19" s="2">
        <v>30230</v>
      </c>
      <c r="C19" s="2" t="s">
        <v>761</v>
      </c>
      <c r="D19" s="2" t="s">
        <v>762</v>
      </c>
      <c r="E19" s="2" t="s">
        <v>336</v>
      </c>
      <c r="F19" s="2">
        <v>50</v>
      </c>
    </row>
    <row r="20" spans="1:6">
      <c r="A20" s="2" t="s">
        <v>844</v>
      </c>
      <c r="B20" s="2">
        <v>30230</v>
      </c>
      <c r="C20" s="2" t="s">
        <v>761</v>
      </c>
      <c r="D20" s="2" t="s">
        <v>762</v>
      </c>
      <c r="E20" s="2" t="s">
        <v>116</v>
      </c>
      <c r="F20" s="2">
        <v>50</v>
      </c>
    </row>
    <row r="21" spans="1:6">
      <c r="A21" s="2" t="s">
        <v>844</v>
      </c>
      <c r="B21" s="2">
        <v>30230</v>
      </c>
      <c r="C21" s="2" t="s">
        <v>761</v>
      </c>
      <c r="D21" s="2" t="s">
        <v>762</v>
      </c>
      <c r="E21" s="2" t="s">
        <v>93</v>
      </c>
      <c r="F21" s="2">
        <v>50</v>
      </c>
    </row>
    <row r="22" spans="1:6">
      <c r="A22" s="2" t="s">
        <v>844</v>
      </c>
      <c r="B22" s="2">
        <v>30230</v>
      </c>
      <c r="C22" s="2" t="s">
        <v>761</v>
      </c>
      <c r="D22" s="2" t="s">
        <v>762</v>
      </c>
      <c r="E22" s="2" t="s">
        <v>118</v>
      </c>
      <c r="F22" s="2">
        <v>50</v>
      </c>
    </row>
    <row r="23" spans="1:6">
      <c r="A23" s="2" t="s">
        <v>844</v>
      </c>
      <c r="B23" s="2">
        <v>30230</v>
      </c>
      <c r="C23" s="2" t="s">
        <v>761</v>
      </c>
      <c r="D23" s="2" t="s">
        <v>762</v>
      </c>
      <c r="E23" s="2" t="s">
        <v>140</v>
      </c>
      <c r="F23" s="2">
        <v>50</v>
      </c>
    </row>
    <row r="24" spans="1:6">
      <c r="A24" s="2" t="s">
        <v>844</v>
      </c>
      <c r="B24" s="2">
        <v>30230</v>
      </c>
      <c r="C24" s="2" t="s">
        <v>761</v>
      </c>
      <c r="D24" s="2" t="s">
        <v>762</v>
      </c>
      <c r="E24" s="2" t="s">
        <v>125</v>
      </c>
      <c r="F24" s="2">
        <v>50</v>
      </c>
    </row>
    <row r="25" spans="1:6">
      <c r="A25" s="2" t="s">
        <v>844</v>
      </c>
      <c r="B25" s="2">
        <v>30230</v>
      </c>
      <c r="C25" s="2" t="s">
        <v>761</v>
      </c>
      <c r="D25" s="2" t="s">
        <v>762</v>
      </c>
      <c r="E25" s="2" t="s">
        <v>87</v>
      </c>
      <c r="F25" s="2">
        <v>50</v>
      </c>
    </row>
    <row r="26" spans="1:6">
      <c r="A26" s="2" t="s">
        <v>844</v>
      </c>
      <c r="B26" s="2">
        <v>30230</v>
      </c>
      <c r="C26" s="2" t="s">
        <v>761</v>
      </c>
      <c r="D26" s="2" t="s">
        <v>762</v>
      </c>
      <c r="E26" s="2" t="s">
        <v>129</v>
      </c>
      <c r="F26" s="2">
        <v>50</v>
      </c>
    </row>
    <row r="27" spans="1:6">
      <c r="A27" s="2" t="s">
        <v>844</v>
      </c>
      <c r="B27" s="2">
        <v>28200</v>
      </c>
      <c r="C27" s="2" t="s">
        <v>739</v>
      </c>
      <c r="D27" s="2" t="s">
        <v>740</v>
      </c>
      <c r="E27" s="2" t="s">
        <v>742</v>
      </c>
      <c r="F27" s="2">
        <v>48</v>
      </c>
    </row>
    <row r="28" spans="1:6">
      <c r="A28" s="2" t="s">
        <v>845</v>
      </c>
      <c r="B28" s="2">
        <v>31110</v>
      </c>
      <c r="C28" s="2" t="s">
        <v>763</v>
      </c>
      <c r="D28" s="2" t="s">
        <v>764</v>
      </c>
      <c r="E28" s="2" t="s">
        <v>741</v>
      </c>
      <c r="F28" s="2">
        <v>48</v>
      </c>
    </row>
    <row r="29" spans="1:6">
      <c r="A29" s="2" t="s">
        <v>845</v>
      </c>
      <c r="B29" s="2">
        <v>30200</v>
      </c>
      <c r="C29" s="2" t="s">
        <v>750</v>
      </c>
      <c r="D29" s="2" t="s">
        <v>751</v>
      </c>
      <c r="E29" s="2" t="s">
        <v>752</v>
      </c>
      <c r="F29" s="2">
        <v>47</v>
      </c>
    </row>
    <row r="30" spans="1:6">
      <c r="A30" s="2" t="s">
        <v>844</v>
      </c>
      <c r="B30" s="2">
        <v>28200</v>
      </c>
      <c r="C30" s="2" t="s">
        <v>739</v>
      </c>
      <c r="D30" s="2" t="s">
        <v>740</v>
      </c>
      <c r="E30" s="2" t="s">
        <v>743</v>
      </c>
      <c r="F30" s="2">
        <v>46</v>
      </c>
    </row>
    <row r="31" spans="1:6">
      <c r="A31" s="2" t="s">
        <v>845</v>
      </c>
      <c r="B31" s="2">
        <v>30200</v>
      </c>
      <c r="C31" s="2" t="s">
        <v>750</v>
      </c>
      <c r="D31" s="2" t="s">
        <v>751</v>
      </c>
      <c r="E31" s="2" t="s">
        <v>753</v>
      </c>
      <c r="F31" s="2">
        <v>46</v>
      </c>
    </row>
    <row r="32" spans="1:6">
      <c r="A32" s="2" t="s">
        <v>845</v>
      </c>
      <c r="B32" s="2">
        <v>30200</v>
      </c>
      <c r="C32" s="2" t="s">
        <v>750</v>
      </c>
      <c r="D32" s="2" t="s">
        <v>751</v>
      </c>
      <c r="E32" s="2" t="s">
        <v>759</v>
      </c>
      <c r="F32" s="2">
        <v>46</v>
      </c>
    </row>
    <row r="33" spans="1:6">
      <c r="A33" s="2" t="s">
        <v>845</v>
      </c>
      <c r="B33" s="2">
        <v>30200</v>
      </c>
      <c r="C33" s="2" t="s">
        <v>750</v>
      </c>
      <c r="D33" s="2" t="s">
        <v>751</v>
      </c>
      <c r="E33" s="2" t="s">
        <v>754</v>
      </c>
      <c r="F33" s="2">
        <v>45</v>
      </c>
    </row>
    <row r="34" spans="1:6">
      <c r="A34" s="2" t="s">
        <v>845</v>
      </c>
      <c r="B34" s="2">
        <v>30200</v>
      </c>
      <c r="C34" s="2" t="s">
        <v>750</v>
      </c>
      <c r="D34" s="2" t="s">
        <v>751</v>
      </c>
      <c r="E34" s="2" t="s">
        <v>757</v>
      </c>
      <c r="F34" s="2">
        <v>45</v>
      </c>
    </row>
    <row r="35" spans="1:6">
      <c r="A35" s="2" t="s">
        <v>845</v>
      </c>
      <c r="B35" s="2">
        <v>30200</v>
      </c>
      <c r="C35" s="2" t="s">
        <v>750</v>
      </c>
      <c r="D35" s="2" t="s">
        <v>751</v>
      </c>
      <c r="E35" s="2" t="s">
        <v>758</v>
      </c>
      <c r="F35" s="2">
        <v>45</v>
      </c>
    </row>
    <row r="36" spans="1:6">
      <c r="A36" s="2" t="s">
        <v>844</v>
      </c>
      <c r="B36" s="2">
        <v>30140</v>
      </c>
      <c r="C36" s="2" t="s">
        <v>746</v>
      </c>
      <c r="D36" s="2" t="s">
        <v>747</v>
      </c>
      <c r="E36" s="2" t="s">
        <v>748</v>
      </c>
      <c r="F36" s="2">
        <v>43</v>
      </c>
    </row>
    <row r="37" spans="1:6">
      <c r="A37" s="2" t="s">
        <v>844</v>
      </c>
      <c r="B37" s="2">
        <v>30140</v>
      </c>
      <c r="C37" s="2" t="s">
        <v>746</v>
      </c>
      <c r="D37" s="2" t="s">
        <v>747</v>
      </c>
      <c r="E37" s="2" t="s">
        <v>749</v>
      </c>
      <c r="F37" s="2">
        <v>43</v>
      </c>
    </row>
    <row r="38" spans="1:6">
      <c r="A38" s="2" t="s">
        <v>845</v>
      </c>
      <c r="B38" s="2">
        <v>44200</v>
      </c>
      <c r="C38" s="2" t="s">
        <v>783</v>
      </c>
      <c r="D38" s="2" t="s">
        <v>784</v>
      </c>
      <c r="E38" s="2" t="s">
        <v>167</v>
      </c>
      <c r="F38" s="2">
        <v>43</v>
      </c>
    </row>
    <row r="39" spans="1:6">
      <c r="A39" s="2" t="s">
        <v>844</v>
      </c>
      <c r="B39" s="2">
        <v>11200</v>
      </c>
      <c r="C39" s="2" t="s">
        <v>720</v>
      </c>
      <c r="D39" s="2" t="s">
        <v>721</v>
      </c>
      <c r="E39" s="2" t="s">
        <v>85</v>
      </c>
      <c r="F39" s="2">
        <v>42</v>
      </c>
    </row>
    <row r="40" spans="1:6">
      <c r="A40" s="2" t="s">
        <v>844</v>
      </c>
      <c r="B40" s="2">
        <v>11200</v>
      </c>
      <c r="C40" s="2" t="s">
        <v>720</v>
      </c>
      <c r="D40" s="2" t="s">
        <v>721</v>
      </c>
      <c r="E40" s="2" t="s">
        <v>87</v>
      </c>
      <c r="F40" s="2">
        <v>40</v>
      </c>
    </row>
    <row r="41" spans="1:6">
      <c r="A41" s="2" t="s">
        <v>844</v>
      </c>
      <c r="B41" s="2">
        <v>41111</v>
      </c>
      <c r="C41" s="2" t="s">
        <v>767</v>
      </c>
      <c r="D41" s="2" t="s">
        <v>768</v>
      </c>
      <c r="E41" s="2" t="s">
        <v>653</v>
      </c>
      <c r="F41" s="2">
        <v>40</v>
      </c>
    </row>
    <row r="42" spans="1:6">
      <c r="A42" s="2" t="s">
        <v>845</v>
      </c>
      <c r="B42" s="2">
        <v>46860</v>
      </c>
      <c r="C42" s="2" t="s">
        <v>812</v>
      </c>
      <c r="D42" s="2" t="s">
        <v>813</v>
      </c>
      <c r="E42" s="2" t="s">
        <v>814</v>
      </c>
      <c r="F42" s="2">
        <v>40</v>
      </c>
    </row>
    <row r="43" spans="1:6">
      <c r="A43" s="2" t="s">
        <v>844</v>
      </c>
      <c r="B43" s="2">
        <v>48127</v>
      </c>
      <c r="C43" s="2" t="s">
        <v>627</v>
      </c>
      <c r="D43" s="2" t="s">
        <v>822</v>
      </c>
      <c r="E43" s="2" t="s">
        <v>142</v>
      </c>
      <c r="F43" s="2">
        <v>39</v>
      </c>
    </row>
    <row r="44" spans="1:6">
      <c r="A44" s="2" t="s">
        <v>844</v>
      </c>
      <c r="B44" s="2">
        <v>48127</v>
      </c>
      <c r="C44" s="2" t="s">
        <v>627</v>
      </c>
      <c r="D44" s="2" t="s">
        <v>822</v>
      </c>
      <c r="E44" s="2" t="s">
        <v>127</v>
      </c>
      <c r="F44" s="2">
        <v>39</v>
      </c>
    </row>
    <row r="45" spans="1:6">
      <c r="A45" s="2" t="s">
        <v>845</v>
      </c>
      <c r="B45" s="2">
        <v>30200</v>
      </c>
      <c r="C45" s="2" t="s">
        <v>755</v>
      </c>
      <c r="D45" s="2" t="s">
        <v>756</v>
      </c>
      <c r="E45" s="2" t="s">
        <v>756</v>
      </c>
      <c r="F45" s="2">
        <v>37</v>
      </c>
    </row>
    <row r="46" spans="1:6">
      <c r="A46" s="2" t="s">
        <v>845</v>
      </c>
      <c r="B46" s="2">
        <v>42170</v>
      </c>
      <c r="C46" s="2" t="s">
        <v>773</v>
      </c>
      <c r="D46" s="2" t="s">
        <v>774</v>
      </c>
      <c r="E46" s="2" t="s">
        <v>774</v>
      </c>
      <c r="F46" s="2">
        <v>37</v>
      </c>
    </row>
    <row r="47" spans="1:6">
      <c r="A47" s="2" t="s">
        <v>844</v>
      </c>
      <c r="B47" s="2">
        <v>30230</v>
      </c>
      <c r="C47" s="2" t="s">
        <v>761</v>
      </c>
      <c r="D47" s="2" t="s">
        <v>762</v>
      </c>
      <c r="E47" s="2" t="s">
        <v>85</v>
      </c>
      <c r="F47" s="2">
        <v>36</v>
      </c>
    </row>
    <row r="48" spans="1:6">
      <c r="A48" s="2" t="s">
        <v>845</v>
      </c>
      <c r="B48" s="2">
        <v>28200</v>
      </c>
      <c r="C48" s="2" t="s">
        <v>737</v>
      </c>
      <c r="D48" s="2" t="s">
        <v>738</v>
      </c>
      <c r="E48" s="2" t="s">
        <v>99</v>
      </c>
      <c r="F48" s="2">
        <v>35</v>
      </c>
    </row>
    <row r="49" spans="1:6">
      <c r="A49" s="2" t="s">
        <v>845</v>
      </c>
      <c r="B49" s="2">
        <v>28200</v>
      </c>
      <c r="C49" s="2" t="s">
        <v>737</v>
      </c>
      <c r="D49" s="2" t="s">
        <v>738</v>
      </c>
      <c r="E49" s="2" t="s">
        <v>42</v>
      </c>
      <c r="F49" s="2">
        <v>35</v>
      </c>
    </row>
    <row r="50" spans="1:6">
      <c r="A50" s="2" t="s">
        <v>845</v>
      </c>
      <c r="B50" s="2">
        <v>48170</v>
      </c>
      <c r="C50" s="2" t="s">
        <v>825</v>
      </c>
      <c r="D50" s="2" t="s">
        <v>826</v>
      </c>
      <c r="E50" s="2" t="s">
        <v>827</v>
      </c>
      <c r="F50" s="2">
        <v>35</v>
      </c>
    </row>
    <row r="51" spans="1:6">
      <c r="A51" s="2" t="s">
        <v>845</v>
      </c>
      <c r="B51" s="2">
        <v>31140</v>
      </c>
      <c r="C51" s="2" t="s">
        <v>765</v>
      </c>
      <c r="D51" s="2" t="s">
        <v>766</v>
      </c>
      <c r="E51" s="2">
        <v>1</v>
      </c>
      <c r="F51" s="2">
        <v>33</v>
      </c>
    </row>
    <row r="52" spans="1:6">
      <c r="A52" s="2" t="s">
        <v>845</v>
      </c>
      <c r="B52" s="2">
        <v>46130</v>
      </c>
      <c r="C52" s="2" t="s">
        <v>797</v>
      </c>
      <c r="D52" s="2" t="s">
        <v>798</v>
      </c>
      <c r="E52" s="2" t="s">
        <v>799</v>
      </c>
      <c r="F52" s="2">
        <v>33</v>
      </c>
    </row>
    <row r="53" spans="1:6">
      <c r="A53" s="2" t="s">
        <v>845</v>
      </c>
      <c r="B53" s="2">
        <v>28200</v>
      </c>
      <c r="C53" s="2" t="s">
        <v>737</v>
      </c>
      <c r="D53" s="2" t="s">
        <v>738</v>
      </c>
      <c r="E53" s="2" t="s">
        <v>59</v>
      </c>
      <c r="F53" s="2">
        <v>32</v>
      </c>
    </row>
    <row r="54" spans="1:6">
      <c r="A54" s="2" t="s">
        <v>845</v>
      </c>
      <c r="B54" s="2">
        <v>43710</v>
      </c>
      <c r="C54" s="2" t="s">
        <v>777</v>
      </c>
      <c r="D54" s="2" t="s">
        <v>778</v>
      </c>
      <c r="E54" s="2" t="s">
        <v>778</v>
      </c>
      <c r="F54" s="2">
        <v>32</v>
      </c>
    </row>
    <row r="55" spans="1:6">
      <c r="A55" s="2" t="s">
        <v>845</v>
      </c>
      <c r="B55" s="2">
        <v>46110</v>
      </c>
      <c r="C55" s="2" t="s">
        <v>794</v>
      </c>
      <c r="D55" s="2" t="s">
        <v>795</v>
      </c>
      <c r="E55" s="2" t="s">
        <v>796</v>
      </c>
      <c r="F55" s="2">
        <v>31</v>
      </c>
    </row>
    <row r="56" spans="1:6">
      <c r="A56" s="2" t="s">
        <v>845</v>
      </c>
      <c r="B56" s="2">
        <v>46170</v>
      </c>
      <c r="C56" s="2" t="s">
        <v>804</v>
      </c>
      <c r="D56" s="2" t="s">
        <v>805</v>
      </c>
      <c r="E56" s="2" t="s">
        <v>806</v>
      </c>
      <c r="F56" s="2">
        <v>31</v>
      </c>
    </row>
    <row r="57" spans="1:6">
      <c r="A57" s="2" t="s">
        <v>844</v>
      </c>
      <c r="B57" s="2">
        <v>46230</v>
      </c>
      <c r="C57" s="2" t="s">
        <v>808</v>
      </c>
      <c r="D57" s="2" t="s">
        <v>809</v>
      </c>
      <c r="E57" s="2">
        <v>201</v>
      </c>
      <c r="F57" s="2">
        <v>30</v>
      </c>
    </row>
    <row r="58" spans="1:6">
      <c r="A58" s="2" t="s">
        <v>845</v>
      </c>
      <c r="B58" s="2">
        <v>48170</v>
      </c>
      <c r="C58" s="2" t="s">
        <v>823</v>
      </c>
      <c r="D58" s="2" t="s">
        <v>824</v>
      </c>
      <c r="E58" s="2" t="s">
        <v>85</v>
      </c>
      <c r="F58" s="2">
        <v>30</v>
      </c>
    </row>
    <row r="59" spans="1:6">
      <c r="A59" s="2" t="s">
        <v>844</v>
      </c>
      <c r="B59" s="2">
        <v>46230</v>
      </c>
      <c r="C59" s="2" t="s">
        <v>807</v>
      </c>
      <c r="D59" s="2"/>
      <c r="E59" s="2" t="s">
        <v>110</v>
      </c>
      <c r="F59" s="2">
        <v>28</v>
      </c>
    </row>
    <row r="60" spans="1:6">
      <c r="A60" s="2" t="s">
        <v>844</v>
      </c>
      <c r="B60" s="2">
        <v>46230</v>
      </c>
      <c r="C60" s="2" t="s">
        <v>807</v>
      </c>
      <c r="D60" s="2"/>
      <c r="E60" s="2" t="s">
        <v>87</v>
      </c>
      <c r="F60" s="2">
        <v>28</v>
      </c>
    </row>
    <row r="61" spans="1:6">
      <c r="A61" s="2" t="s">
        <v>844</v>
      </c>
      <c r="B61" s="2">
        <v>46230</v>
      </c>
      <c r="C61" s="2" t="s">
        <v>807</v>
      </c>
      <c r="D61" s="2"/>
      <c r="E61" s="2" t="s">
        <v>93</v>
      </c>
      <c r="F61" s="2">
        <v>28</v>
      </c>
    </row>
    <row r="62" spans="1:6">
      <c r="A62" s="2" t="s">
        <v>844</v>
      </c>
      <c r="B62" s="2">
        <v>46230</v>
      </c>
      <c r="C62" s="2" t="s">
        <v>807</v>
      </c>
      <c r="D62" s="2"/>
      <c r="E62" s="2" t="s">
        <v>142</v>
      </c>
      <c r="F62" s="2">
        <v>28</v>
      </c>
    </row>
    <row r="63" spans="1:6">
      <c r="A63" s="2" t="s">
        <v>844</v>
      </c>
      <c r="B63" s="2">
        <v>46230</v>
      </c>
      <c r="C63" s="2" t="s">
        <v>807</v>
      </c>
      <c r="D63" s="2"/>
      <c r="E63" s="2" t="s">
        <v>129</v>
      </c>
      <c r="F63" s="2">
        <v>28</v>
      </c>
    </row>
    <row r="64" spans="1:6">
      <c r="A64" s="2" t="s">
        <v>844</v>
      </c>
      <c r="B64" s="2">
        <v>46230</v>
      </c>
      <c r="C64" s="2" t="s">
        <v>807</v>
      </c>
      <c r="D64" s="2"/>
      <c r="E64" s="2" t="s">
        <v>140</v>
      </c>
      <c r="F64" s="2">
        <v>28</v>
      </c>
    </row>
    <row r="65" spans="1:6">
      <c r="A65" s="2" t="s">
        <v>845</v>
      </c>
      <c r="B65" s="2">
        <v>48310</v>
      </c>
      <c r="C65" s="2" t="s">
        <v>828</v>
      </c>
      <c r="D65" s="2" t="s">
        <v>829</v>
      </c>
      <c r="E65" s="2" t="s">
        <v>830</v>
      </c>
      <c r="F65" s="2">
        <v>28</v>
      </c>
    </row>
    <row r="66" spans="1:6">
      <c r="A66" s="2" t="s">
        <v>845</v>
      </c>
      <c r="B66" s="2">
        <v>46150</v>
      </c>
      <c r="C66" s="2" t="s">
        <v>802</v>
      </c>
      <c r="D66" s="2" t="s">
        <v>803</v>
      </c>
      <c r="E66" s="2" t="s">
        <v>167</v>
      </c>
      <c r="F66" s="2">
        <v>27</v>
      </c>
    </row>
    <row r="67" spans="1:6">
      <c r="A67" s="2" t="s">
        <v>844</v>
      </c>
      <c r="B67" s="2">
        <v>45111</v>
      </c>
      <c r="C67" s="2" t="s">
        <v>790</v>
      </c>
      <c r="D67" s="2" t="s">
        <v>791</v>
      </c>
      <c r="E67" s="2" t="s">
        <v>87</v>
      </c>
      <c r="F67" s="2">
        <v>25</v>
      </c>
    </row>
    <row r="68" spans="1:6">
      <c r="A68" s="2" t="s">
        <v>844</v>
      </c>
      <c r="B68" s="2">
        <v>45111</v>
      </c>
      <c r="C68" s="2" t="s">
        <v>790</v>
      </c>
      <c r="D68" s="2" t="s">
        <v>791</v>
      </c>
      <c r="E68" s="2" t="s">
        <v>85</v>
      </c>
      <c r="F68" s="2">
        <v>25</v>
      </c>
    </row>
    <row r="69" spans="1:6">
      <c r="A69" s="2" t="s">
        <v>844</v>
      </c>
      <c r="B69" s="2">
        <v>45111</v>
      </c>
      <c r="C69" s="2" t="s">
        <v>790</v>
      </c>
      <c r="D69" s="2" t="s">
        <v>791</v>
      </c>
      <c r="E69" s="2" t="s">
        <v>110</v>
      </c>
      <c r="F69" s="2">
        <v>25</v>
      </c>
    </row>
    <row r="70" spans="1:6">
      <c r="A70" s="2" t="s">
        <v>844</v>
      </c>
      <c r="B70" s="2">
        <v>45111</v>
      </c>
      <c r="C70" s="2" t="s">
        <v>790</v>
      </c>
      <c r="D70" s="2" t="s">
        <v>791</v>
      </c>
      <c r="E70" s="2" t="s">
        <v>129</v>
      </c>
      <c r="F70" s="2">
        <v>25</v>
      </c>
    </row>
    <row r="71" spans="1:6">
      <c r="A71" s="2" t="s">
        <v>844</v>
      </c>
      <c r="B71" s="2">
        <v>45111</v>
      </c>
      <c r="C71" s="2" t="s">
        <v>790</v>
      </c>
      <c r="D71" s="2" t="s">
        <v>791</v>
      </c>
      <c r="E71" s="2" t="s">
        <v>140</v>
      </c>
      <c r="F71" s="2">
        <v>25</v>
      </c>
    </row>
    <row r="72" spans="1:6">
      <c r="A72" s="2" t="s">
        <v>844</v>
      </c>
      <c r="B72" s="2">
        <v>45111</v>
      </c>
      <c r="C72" s="2" t="s">
        <v>790</v>
      </c>
      <c r="D72" s="2" t="s">
        <v>791</v>
      </c>
      <c r="E72" s="2" t="s">
        <v>93</v>
      </c>
      <c r="F72" s="2">
        <v>25</v>
      </c>
    </row>
    <row r="73" spans="1:6">
      <c r="A73" s="2" t="s">
        <v>844</v>
      </c>
      <c r="B73" s="2">
        <v>45113</v>
      </c>
      <c r="C73" s="2" t="s">
        <v>792</v>
      </c>
      <c r="D73" s="2" t="s">
        <v>793</v>
      </c>
      <c r="E73" s="2">
        <v>106</v>
      </c>
      <c r="F73" s="2">
        <v>25</v>
      </c>
    </row>
    <row r="74" spans="1:6">
      <c r="A74" s="2" t="s">
        <v>844</v>
      </c>
      <c r="B74" s="2">
        <v>45113</v>
      </c>
      <c r="C74" s="2" t="s">
        <v>792</v>
      </c>
      <c r="D74" s="2" t="s">
        <v>793</v>
      </c>
      <c r="E74" s="2">
        <v>101</v>
      </c>
      <c r="F74" s="2">
        <v>25</v>
      </c>
    </row>
    <row r="75" spans="1:6">
      <c r="A75" s="2" t="s">
        <v>845</v>
      </c>
      <c r="B75" s="2">
        <v>46130</v>
      </c>
      <c r="C75" s="2" t="s">
        <v>800</v>
      </c>
      <c r="D75" s="2" t="s">
        <v>801</v>
      </c>
      <c r="E75" s="2" t="s">
        <v>730</v>
      </c>
      <c r="F75" s="2">
        <v>25</v>
      </c>
    </row>
    <row r="76" spans="1:6">
      <c r="A76" s="2" t="s">
        <v>845</v>
      </c>
      <c r="B76" s="2">
        <v>46840</v>
      </c>
      <c r="C76" s="2" t="s">
        <v>810</v>
      </c>
      <c r="D76" s="2" t="s">
        <v>811</v>
      </c>
      <c r="E76" s="2" t="s">
        <v>736</v>
      </c>
      <c r="F76" s="2">
        <v>25</v>
      </c>
    </row>
    <row r="77" spans="1:6">
      <c r="A77" s="2" t="s">
        <v>845</v>
      </c>
      <c r="B77" s="2">
        <v>46840</v>
      </c>
      <c r="C77" s="2" t="s">
        <v>810</v>
      </c>
      <c r="D77" s="2" t="s">
        <v>811</v>
      </c>
      <c r="E77" s="2" t="s">
        <v>730</v>
      </c>
      <c r="F77" s="2">
        <v>25</v>
      </c>
    </row>
    <row r="78" spans="1:6">
      <c r="A78" s="2" t="s">
        <v>845</v>
      </c>
      <c r="B78" s="2">
        <v>47150</v>
      </c>
      <c r="C78" s="2" t="s">
        <v>815</v>
      </c>
      <c r="D78" s="2" t="s">
        <v>816</v>
      </c>
      <c r="E78" s="2" t="s">
        <v>817</v>
      </c>
      <c r="F78" s="2">
        <v>25</v>
      </c>
    </row>
    <row r="79" spans="1:6">
      <c r="A79" s="2" t="s">
        <v>845</v>
      </c>
      <c r="B79" s="2">
        <v>42130</v>
      </c>
      <c r="C79" s="2" t="s">
        <v>771</v>
      </c>
      <c r="D79" s="2" t="s">
        <v>772</v>
      </c>
      <c r="E79" s="2" t="s">
        <v>772</v>
      </c>
      <c r="F79" s="2">
        <v>23</v>
      </c>
    </row>
    <row r="80" spans="1:6">
      <c r="A80" s="2" t="s">
        <v>845</v>
      </c>
      <c r="B80" s="2">
        <v>29140</v>
      </c>
      <c r="C80" s="2" t="s">
        <v>744</v>
      </c>
      <c r="D80" s="2" t="s">
        <v>745</v>
      </c>
      <c r="E80" s="2" t="s">
        <v>745</v>
      </c>
      <c r="F80" s="2">
        <v>22</v>
      </c>
    </row>
    <row r="81" spans="1:6">
      <c r="A81" s="2" t="s">
        <v>845</v>
      </c>
      <c r="B81" s="2">
        <v>50110</v>
      </c>
      <c r="C81" s="2" t="s">
        <v>839</v>
      </c>
      <c r="D81" s="2" t="s">
        <v>840</v>
      </c>
      <c r="E81" s="2" t="s">
        <v>730</v>
      </c>
      <c r="F81" s="2">
        <v>22</v>
      </c>
    </row>
    <row r="82" spans="1:6">
      <c r="A82" s="2" t="s">
        <v>845</v>
      </c>
      <c r="B82" s="2">
        <v>45111</v>
      </c>
      <c r="C82" s="2" t="s">
        <v>785</v>
      </c>
      <c r="D82" s="2" t="s">
        <v>786</v>
      </c>
      <c r="E82" s="2" t="s">
        <v>730</v>
      </c>
      <c r="F82" s="2">
        <v>20</v>
      </c>
    </row>
    <row r="83" spans="1:6">
      <c r="A83" s="2" t="s">
        <v>845</v>
      </c>
      <c r="B83" s="2">
        <v>47190</v>
      </c>
      <c r="C83" s="2" t="s">
        <v>818</v>
      </c>
      <c r="D83" s="2" t="s">
        <v>819</v>
      </c>
      <c r="E83" s="2" t="s">
        <v>819</v>
      </c>
      <c r="F83" s="2">
        <v>20</v>
      </c>
    </row>
    <row r="84" spans="1:6">
      <c r="A84" s="2" t="s">
        <v>845</v>
      </c>
      <c r="B84" s="2">
        <v>43113</v>
      </c>
      <c r="C84" s="2" t="s">
        <v>775</v>
      </c>
      <c r="D84" s="2" t="s">
        <v>776</v>
      </c>
      <c r="E84" s="2" t="s">
        <v>730</v>
      </c>
      <c r="F84" s="2">
        <v>18</v>
      </c>
    </row>
    <row r="85" spans="1:6">
      <c r="A85" s="2" t="s">
        <v>845</v>
      </c>
      <c r="B85" s="2">
        <v>45111</v>
      </c>
      <c r="C85" s="2" t="s">
        <v>787</v>
      </c>
      <c r="D85" s="2" t="s">
        <v>788</v>
      </c>
      <c r="E85" s="2" t="s">
        <v>789</v>
      </c>
      <c r="F85" s="2">
        <v>18</v>
      </c>
    </row>
    <row r="86" spans="1:6">
      <c r="A86" s="2" t="s">
        <v>845</v>
      </c>
      <c r="B86" s="2">
        <v>47900</v>
      </c>
      <c r="C86" s="2" t="s">
        <v>820</v>
      </c>
      <c r="D86" s="2" t="s">
        <v>821</v>
      </c>
      <c r="E86" s="2" t="s">
        <v>730</v>
      </c>
      <c r="F86" s="2">
        <v>18</v>
      </c>
    </row>
    <row r="87" spans="1:6">
      <c r="A87" s="2" t="s">
        <v>845</v>
      </c>
      <c r="B87" s="2">
        <v>50110</v>
      </c>
      <c r="C87" s="2" t="s">
        <v>667</v>
      </c>
      <c r="D87" s="2" t="s">
        <v>831</v>
      </c>
      <c r="E87" s="2" t="s">
        <v>831</v>
      </c>
      <c r="F87" s="2">
        <v>18</v>
      </c>
    </row>
    <row r="88" spans="1:6">
      <c r="A88" s="2" t="s">
        <v>845</v>
      </c>
      <c r="B88" s="2">
        <v>50110</v>
      </c>
      <c r="C88" s="2" t="s">
        <v>832</v>
      </c>
      <c r="D88" s="2" t="s">
        <v>833</v>
      </c>
      <c r="E88" s="2" t="s">
        <v>834</v>
      </c>
      <c r="F88" s="2">
        <v>18</v>
      </c>
    </row>
    <row r="89" spans="1:6">
      <c r="A89" s="2" t="s">
        <v>845</v>
      </c>
      <c r="B89" s="2">
        <v>50110</v>
      </c>
      <c r="C89" s="2" t="s">
        <v>835</v>
      </c>
      <c r="D89" s="2" t="s">
        <v>836</v>
      </c>
      <c r="E89" s="2" t="s">
        <v>85</v>
      </c>
      <c r="F89" s="2">
        <v>18</v>
      </c>
    </row>
    <row r="90" spans="1:6">
      <c r="A90" s="2" t="s">
        <v>845</v>
      </c>
      <c r="B90" s="2">
        <v>50110</v>
      </c>
      <c r="C90" s="2" t="s">
        <v>837</v>
      </c>
      <c r="D90" s="2" t="s">
        <v>838</v>
      </c>
      <c r="E90" s="2" t="s">
        <v>730</v>
      </c>
      <c r="F90" s="2">
        <v>18</v>
      </c>
    </row>
    <row r="91" spans="1:6">
      <c r="A91" s="2" t="s">
        <v>845</v>
      </c>
      <c r="B91" s="2">
        <v>50110</v>
      </c>
      <c r="C91" s="2" t="s">
        <v>841</v>
      </c>
      <c r="D91" s="2" t="s">
        <v>842</v>
      </c>
      <c r="E91" s="2" t="s">
        <v>730</v>
      </c>
      <c r="F91" s="2">
        <v>18</v>
      </c>
    </row>
    <row r="92" spans="1:6">
      <c r="A92" s="2" t="s">
        <v>845</v>
      </c>
      <c r="B92" s="2">
        <v>50110</v>
      </c>
      <c r="C92" s="2" t="s">
        <v>667</v>
      </c>
      <c r="D92" s="2" t="s">
        <v>831</v>
      </c>
      <c r="E92" s="2" t="s">
        <v>831</v>
      </c>
      <c r="F92" s="2">
        <v>18</v>
      </c>
    </row>
    <row r="93" spans="1:6">
      <c r="A93" s="2" t="s">
        <v>845</v>
      </c>
      <c r="B93" s="2">
        <v>50110</v>
      </c>
      <c r="C93" s="2" t="s">
        <v>835</v>
      </c>
      <c r="D93" s="2" t="s">
        <v>843</v>
      </c>
      <c r="E93" s="2" t="s">
        <v>85</v>
      </c>
      <c r="F93" s="2">
        <v>18</v>
      </c>
    </row>
    <row r="94" spans="1:6">
      <c r="A94" s="2" t="s">
        <v>845</v>
      </c>
      <c r="B94" s="2">
        <v>43710</v>
      </c>
      <c r="C94" s="2" t="s">
        <v>779</v>
      </c>
      <c r="D94" s="2" t="s">
        <v>780</v>
      </c>
      <c r="E94" s="2" t="s">
        <v>730</v>
      </c>
      <c r="F94" s="2">
        <v>16</v>
      </c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69"/>
  <sheetViews>
    <sheetView view="pageBreakPreview" zoomScaleNormal="85" zoomScaleSheetLayoutView="100" workbookViewId="0">
      <selection activeCell="B1" sqref="B1"/>
    </sheetView>
  </sheetViews>
  <sheetFormatPr defaultColWidth="14.375" defaultRowHeight="18" customHeight="1"/>
  <cols>
    <col min="1" max="1" width="2.625" style="10" customWidth="1"/>
    <col min="2" max="2" width="16.625" style="10" customWidth="1"/>
    <col min="3" max="3" width="18.625" style="10" customWidth="1"/>
    <col min="4" max="4" width="12.625" style="10" customWidth="1"/>
    <col min="5" max="5" width="17.625" style="10" bestFit="1" customWidth="1"/>
    <col min="6" max="6" width="12.625" style="10" customWidth="1"/>
    <col min="7" max="7" width="17.625" style="10" bestFit="1" customWidth="1"/>
    <col min="8" max="8" width="12.625" style="10" customWidth="1"/>
    <col min="9" max="9" width="15.625" style="10" customWidth="1"/>
    <col min="10" max="10" width="12.625" style="10" customWidth="1"/>
    <col min="11" max="11" width="15.625" style="10" customWidth="1"/>
    <col min="12" max="12" width="12.625" style="10" customWidth="1"/>
    <col min="13" max="13" width="15.625" style="10" customWidth="1"/>
    <col min="14" max="14" width="12.625" style="10" customWidth="1"/>
    <col min="15" max="15" width="15.625" style="10" customWidth="1"/>
    <col min="16" max="16384" width="14.375" style="10"/>
  </cols>
  <sheetData>
    <row r="1" spans="1:15" s="18" customFormat="1" ht="30" customHeight="1">
      <c r="A1" s="7" t="s">
        <v>1554</v>
      </c>
    </row>
    <row r="2" spans="1:15" s="18" customFormat="1" ht="18" customHeight="1">
      <c r="A2" s="19" t="s">
        <v>1559</v>
      </c>
    </row>
    <row r="3" spans="1:15" s="18" customFormat="1" ht="18" customHeight="1">
      <c r="A3" s="19" t="s">
        <v>1547</v>
      </c>
      <c r="H3" s="10"/>
      <c r="I3" s="10"/>
      <c r="J3" s="10"/>
      <c r="K3" s="10"/>
      <c r="L3" s="10"/>
      <c r="M3" s="10"/>
    </row>
    <row r="4" spans="1:15" s="18" customFormat="1" ht="18" customHeight="1">
      <c r="A4" s="19" t="s">
        <v>1509</v>
      </c>
      <c r="H4" s="10"/>
      <c r="I4" s="10"/>
      <c r="J4" s="10"/>
      <c r="K4" s="10"/>
      <c r="L4" s="10"/>
      <c r="M4" s="10"/>
    </row>
    <row r="5" spans="1:15" s="18" customFormat="1" ht="18" customHeight="1">
      <c r="O5" s="11" t="s">
        <v>876</v>
      </c>
    </row>
    <row r="6" spans="1:15" s="18" customFormat="1" ht="18" customHeight="1">
      <c r="B6" s="117" t="s">
        <v>955</v>
      </c>
      <c r="C6" s="117"/>
      <c r="D6" s="117" t="s">
        <v>956</v>
      </c>
      <c r="E6" s="117"/>
      <c r="F6" s="117" t="s">
        <v>957</v>
      </c>
      <c r="G6" s="117"/>
      <c r="H6" s="117" t="s">
        <v>958</v>
      </c>
      <c r="I6" s="117"/>
      <c r="J6" s="117" t="s">
        <v>959</v>
      </c>
      <c r="K6" s="117"/>
      <c r="L6" s="117" t="s">
        <v>1544</v>
      </c>
      <c r="M6" s="117"/>
      <c r="N6" s="117" t="s">
        <v>960</v>
      </c>
      <c r="O6" s="117"/>
    </row>
    <row r="7" spans="1:15" s="18" customFormat="1" ht="18" customHeight="1">
      <c r="B7" s="117"/>
      <c r="C7" s="117"/>
      <c r="D7" s="78" t="s">
        <v>961</v>
      </c>
      <c r="E7" s="78" t="s">
        <v>962</v>
      </c>
      <c r="F7" s="78" t="s">
        <v>961</v>
      </c>
      <c r="G7" s="78" t="s">
        <v>962</v>
      </c>
      <c r="H7" s="78" t="s">
        <v>961</v>
      </c>
      <c r="I7" s="78" t="s">
        <v>962</v>
      </c>
      <c r="J7" s="78" t="s">
        <v>961</v>
      </c>
      <c r="K7" s="78" t="s">
        <v>962</v>
      </c>
      <c r="L7" s="78" t="s">
        <v>961</v>
      </c>
      <c r="M7" s="78" t="s">
        <v>962</v>
      </c>
      <c r="N7" s="78" t="s">
        <v>961</v>
      </c>
      <c r="O7" s="78" t="s">
        <v>962</v>
      </c>
    </row>
    <row r="8" spans="1:15" s="18" customFormat="1" ht="18" customHeight="1">
      <c r="B8" s="119" t="s">
        <v>963</v>
      </c>
      <c r="C8" s="14" t="s">
        <v>917</v>
      </c>
      <c r="D8" s="64">
        <v>7391084</v>
      </c>
      <c r="E8" s="64">
        <v>4227660684.3163824</v>
      </c>
      <c r="F8" s="64">
        <v>4576735</v>
      </c>
      <c r="G8" s="64">
        <v>1950556270.9817071</v>
      </c>
      <c r="H8" s="64">
        <v>1392582</v>
      </c>
      <c r="I8" s="64">
        <v>934688689.26892006</v>
      </c>
      <c r="J8" s="64">
        <v>345087</v>
      </c>
      <c r="K8" s="64">
        <v>465148021.79320008</v>
      </c>
      <c r="L8" s="64">
        <v>203489</v>
      </c>
      <c r="M8" s="64">
        <v>376645408.43112504</v>
      </c>
      <c r="N8" s="64">
        <v>873191</v>
      </c>
      <c r="O8" s="64">
        <v>500622293.84142995</v>
      </c>
    </row>
    <row r="9" spans="1:15" s="18" customFormat="1" ht="18" customHeight="1">
      <c r="B9" s="119"/>
      <c r="C9" s="16" t="s">
        <v>964</v>
      </c>
      <c r="D9" s="65">
        <v>1178853</v>
      </c>
      <c r="E9" s="65">
        <v>1011971571.8445902</v>
      </c>
      <c r="F9" s="65">
        <v>550896</v>
      </c>
      <c r="G9" s="65">
        <v>443210100.51001</v>
      </c>
      <c r="H9" s="65">
        <v>298633</v>
      </c>
      <c r="I9" s="65">
        <v>260684100.9044801</v>
      </c>
      <c r="J9" s="65">
        <v>83958</v>
      </c>
      <c r="K9" s="65">
        <v>121410786.13170001</v>
      </c>
      <c r="L9" s="65">
        <v>31073</v>
      </c>
      <c r="M9" s="65">
        <v>64384982.880900003</v>
      </c>
      <c r="N9" s="65">
        <v>214293</v>
      </c>
      <c r="O9" s="65">
        <v>122281601.4175</v>
      </c>
    </row>
    <row r="10" spans="1:15" s="18" customFormat="1" ht="18" customHeight="1">
      <c r="B10" s="119"/>
      <c r="C10" s="16" t="s">
        <v>965</v>
      </c>
      <c r="D10" s="65">
        <v>636450</v>
      </c>
      <c r="E10" s="65">
        <v>489138337.08860004</v>
      </c>
      <c r="F10" s="65">
        <v>314443</v>
      </c>
      <c r="G10" s="65">
        <v>212556837.81180003</v>
      </c>
      <c r="H10" s="65">
        <v>144237</v>
      </c>
      <c r="I10" s="65">
        <v>102368823.075</v>
      </c>
      <c r="J10" s="65">
        <v>52951</v>
      </c>
      <c r="K10" s="65">
        <v>71134100.072099999</v>
      </c>
      <c r="L10" s="65">
        <v>24292</v>
      </c>
      <c r="M10" s="65">
        <v>48759735.628300004</v>
      </c>
      <c r="N10" s="65">
        <v>100527</v>
      </c>
      <c r="O10" s="65">
        <v>54318840.501400009</v>
      </c>
    </row>
    <row r="11" spans="1:15" s="18" customFormat="1" ht="18" customHeight="1">
      <c r="B11" s="119"/>
      <c r="C11" s="16" t="s">
        <v>966</v>
      </c>
      <c r="D11" s="65">
        <v>555637</v>
      </c>
      <c r="E11" s="65">
        <v>509860534.22745502</v>
      </c>
      <c r="F11" s="65">
        <v>232115</v>
      </c>
      <c r="G11" s="65">
        <v>235272173.21408001</v>
      </c>
      <c r="H11" s="65">
        <v>141454</v>
      </c>
      <c r="I11" s="65">
        <v>104734067.94485</v>
      </c>
      <c r="J11" s="65">
        <v>50243</v>
      </c>
      <c r="K11" s="65">
        <v>64036095.961600013</v>
      </c>
      <c r="L11" s="65">
        <v>28832</v>
      </c>
      <c r="M11" s="65">
        <v>56129681.154525004</v>
      </c>
      <c r="N11" s="65">
        <v>102993</v>
      </c>
      <c r="O11" s="65">
        <v>49688515.952400006</v>
      </c>
    </row>
    <row r="12" spans="1:15" s="18" customFormat="1" ht="18" customHeight="1">
      <c r="B12" s="119"/>
      <c r="C12" s="16" t="s">
        <v>967</v>
      </c>
      <c r="D12" s="65">
        <v>626876</v>
      </c>
      <c r="E12" s="65">
        <v>535993776.05033499</v>
      </c>
      <c r="F12" s="65">
        <v>316292</v>
      </c>
      <c r="G12" s="65">
        <v>264471049.25185001</v>
      </c>
      <c r="H12" s="65">
        <v>152077</v>
      </c>
      <c r="I12" s="65">
        <v>125408353.65603499</v>
      </c>
      <c r="J12" s="65">
        <v>48351</v>
      </c>
      <c r="K12" s="65">
        <v>51174306.671400011</v>
      </c>
      <c r="L12" s="65">
        <v>26325</v>
      </c>
      <c r="M12" s="65">
        <v>52708686.67095001</v>
      </c>
      <c r="N12" s="65">
        <v>83831</v>
      </c>
      <c r="O12" s="65">
        <v>42231379.800099991</v>
      </c>
    </row>
    <row r="13" spans="1:15" s="18" customFormat="1" ht="18" customHeight="1">
      <c r="B13" s="119"/>
      <c r="C13" s="16" t="s">
        <v>968</v>
      </c>
      <c r="D13" s="65">
        <v>743422</v>
      </c>
      <c r="E13" s="65">
        <v>583891217.43090999</v>
      </c>
      <c r="F13" s="65">
        <v>399043</v>
      </c>
      <c r="G13" s="65">
        <v>265479146.96278</v>
      </c>
      <c r="H13" s="65">
        <v>147120</v>
      </c>
      <c r="I13" s="65">
        <v>104319837.91</v>
      </c>
      <c r="J13" s="65">
        <v>35366</v>
      </c>
      <c r="K13" s="65">
        <v>47851445.339800008</v>
      </c>
      <c r="L13" s="65">
        <v>27960</v>
      </c>
      <c r="M13" s="65">
        <v>52909061.181200013</v>
      </c>
      <c r="N13" s="65">
        <v>133933</v>
      </c>
      <c r="O13" s="65">
        <v>113331726.03713</v>
      </c>
    </row>
    <row r="14" spans="1:15" s="18" customFormat="1" ht="18" customHeight="1">
      <c r="B14" s="119"/>
      <c r="C14" s="16" t="s">
        <v>969</v>
      </c>
      <c r="D14" s="65">
        <v>705941</v>
      </c>
      <c r="E14" s="65">
        <v>500075704.12880003</v>
      </c>
      <c r="F14" s="65">
        <v>447007</v>
      </c>
      <c r="G14" s="65">
        <v>253632260.89205</v>
      </c>
      <c r="H14" s="65">
        <v>139231</v>
      </c>
      <c r="I14" s="65">
        <v>99552051.816300005</v>
      </c>
      <c r="J14" s="65">
        <v>29088</v>
      </c>
      <c r="K14" s="65">
        <v>48512474.983100004</v>
      </c>
      <c r="L14" s="65">
        <v>16107</v>
      </c>
      <c r="M14" s="65">
        <v>27237782.83735</v>
      </c>
      <c r="N14" s="65">
        <v>74508</v>
      </c>
      <c r="O14" s="65">
        <v>71141133.599999994</v>
      </c>
    </row>
    <row r="15" spans="1:15" s="18" customFormat="1" ht="18" customHeight="1">
      <c r="B15" s="119"/>
      <c r="C15" s="16" t="s">
        <v>970</v>
      </c>
      <c r="D15" s="65">
        <v>2444039</v>
      </c>
      <c r="E15" s="65">
        <v>516373348.91413701</v>
      </c>
      <c r="F15" s="65">
        <v>1934662</v>
      </c>
      <c r="G15" s="65">
        <v>248563987.74338701</v>
      </c>
      <c r="H15" s="65">
        <v>314890</v>
      </c>
      <c r="I15" s="65">
        <v>127202533.20255001</v>
      </c>
      <c r="J15" s="65">
        <v>36521</v>
      </c>
      <c r="K15" s="65">
        <v>49777727.800400004</v>
      </c>
      <c r="L15" s="65">
        <v>33934</v>
      </c>
      <c r="M15" s="65">
        <v>54374003.932700001</v>
      </c>
      <c r="N15" s="65">
        <v>124032</v>
      </c>
      <c r="O15" s="65">
        <v>36455096.235099994</v>
      </c>
    </row>
    <row r="16" spans="1:15" s="18" customFormat="1" ht="18" customHeight="1">
      <c r="B16" s="119"/>
      <c r="C16" s="16" t="s">
        <v>918</v>
      </c>
      <c r="D16" s="65">
        <v>499866</v>
      </c>
      <c r="E16" s="65">
        <v>80356194.631554991</v>
      </c>
      <c r="F16" s="65">
        <v>382277</v>
      </c>
      <c r="G16" s="65">
        <v>27370714.59575</v>
      </c>
      <c r="H16" s="65">
        <v>54940</v>
      </c>
      <c r="I16" s="65">
        <v>10418920.759705</v>
      </c>
      <c r="J16" s="65">
        <v>8609</v>
      </c>
      <c r="K16" s="65">
        <v>11251084.833099999</v>
      </c>
      <c r="L16" s="65">
        <v>14966</v>
      </c>
      <c r="M16" s="65">
        <v>20141474.145199999</v>
      </c>
      <c r="N16" s="65">
        <v>39074</v>
      </c>
      <c r="O16" s="65">
        <v>11174000.297800001</v>
      </c>
    </row>
    <row r="17" spans="2:15" s="18" customFormat="1" ht="18" customHeight="1">
      <c r="B17" s="119" t="s">
        <v>971</v>
      </c>
      <c r="C17" s="14" t="s">
        <v>917</v>
      </c>
      <c r="D17" s="64">
        <v>579408</v>
      </c>
      <c r="E17" s="64">
        <v>594223316.70760012</v>
      </c>
      <c r="F17" s="64">
        <v>428325</v>
      </c>
      <c r="G17" s="64">
        <v>308478091.63780004</v>
      </c>
      <c r="H17" s="64">
        <v>127876</v>
      </c>
      <c r="I17" s="64">
        <v>186782639.33590001</v>
      </c>
      <c r="J17" s="64">
        <v>2322</v>
      </c>
      <c r="K17" s="64">
        <v>14552066.776699999</v>
      </c>
      <c r="L17" s="64">
        <v>16367</v>
      </c>
      <c r="M17" s="64">
        <v>63430315.032499999</v>
      </c>
      <c r="N17" s="64">
        <v>4518</v>
      </c>
      <c r="O17" s="64">
        <v>20980203.924700003</v>
      </c>
    </row>
    <row r="18" spans="2:15" s="18" customFormat="1" ht="18" customHeight="1">
      <c r="B18" s="119"/>
      <c r="C18" s="16" t="s">
        <v>964</v>
      </c>
      <c r="D18" s="65">
        <v>52244</v>
      </c>
      <c r="E18" s="65">
        <v>95584770.704399988</v>
      </c>
      <c r="F18" s="65">
        <v>39334</v>
      </c>
      <c r="G18" s="65">
        <v>46627352.4089</v>
      </c>
      <c r="H18" s="65">
        <v>10430</v>
      </c>
      <c r="I18" s="65">
        <v>32574936.5792</v>
      </c>
      <c r="J18" s="65">
        <v>190</v>
      </c>
      <c r="K18" s="65">
        <v>5523317.6519999998</v>
      </c>
      <c r="L18" s="65">
        <v>1692</v>
      </c>
      <c r="M18" s="65">
        <v>8525893.6345000006</v>
      </c>
      <c r="N18" s="65">
        <v>598</v>
      </c>
      <c r="O18" s="65">
        <v>2333270.4298</v>
      </c>
    </row>
    <row r="19" spans="2:15" s="18" customFormat="1" ht="18" customHeight="1">
      <c r="B19" s="119"/>
      <c r="C19" s="16" t="s">
        <v>965</v>
      </c>
      <c r="D19" s="65">
        <v>29492</v>
      </c>
      <c r="E19" s="65">
        <v>55389228.582899995</v>
      </c>
      <c r="F19" s="65">
        <v>21737</v>
      </c>
      <c r="G19" s="65">
        <v>26371508.812800001</v>
      </c>
      <c r="H19" s="65">
        <v>5817</v>
      </c>
      <c r="I19" s="65">
        <v>16751156.670299999</v>
      </c>
      <c r="J19" s="65">
        <v>91</v>
      </c>
      <c r="K19" s="65">
        <v>2376894.7385</v>
      </c>
      <c r="L19" s="65">
        <v>1417</v>
      </c>
      <c r="M19" s="65">
        <v>7855157.6951000001</v>
      </c>
      <c r="N19" s="65">
        <v>430</v>
      </c>
      <c r="O19" s="65">
        <v>2034510.6662000001</v>
      </c>
    </row>
    <row r="20" spans="2:15" s="18" customFormat="1" ht="18" customHeight="1">
      <c r="B20" s="119"/>
      <c r="C20" s="16" t="s">
        <v>966</v>
      </c>
      <c r="D20" s="65">
        <v>26325</v>
      </c>
      <c r="E20" s="65">
        <v>70435842.877000004</v>
      </c>
      <c r="F20" s="65">
        <v>17002</v>
      </c>
      <c r="G20" s="65">
        <v>34093197.671499997</v>
      </c>
      <c r="H20" s="65">
        <v>6992</v>
      </c>
      <c r="I20" s="65">
        <v>22816703.328299999</v>
      </c>
      <c r="J20" s="65">
        <v>135</v>
      </c>
      <c r="K20" s="65">
        <v>3059108.5882000001</v>
      </c>
      <c r="L20" s="65">
        <v>1864</v>
      </c>
      <c r="M20" s="65">
        <v>8447370.2167000007</v>
      </c>
      <c r="N20" s="65">
        <v>332</v>
      </c>
      <c r="O20" s="65">
        <v>2019463.0723000001</v>
      </c>
    </row>
    <row r="21" spans="2:15" s="18" customFormat="1" ht="18" customHeight="1">
      <c r="B21" s="119"/>
      <c r="C21" s="16" t="s">
        <v>967</v>
      </c>
      <c r="D21" s="65">
        <v>55206</v>
      </c>
      <c r="E21" s="65">
        <v>93375469.419200003</v>
      </c>
      <c r="F21" s="65">
        <v>41974</v>
      </c>
      <c r="G21" s="65">
        <v>58871383.376699999</v>
      </c>
      <c r="H21" s="65">
        <v>10499</v>
      </c>
      <c r="I21" s="65">
        <v>22510119.448199999</v>
      </c>
      <c r="J21" s="65">
        <v>209</v>
      </c>
      <c r="K21" s="65">
        <v>1877062.0009999999</v>
      </c>
      <c r="L21" s="65">
        <v>2064</v>
      </c>
      <c r="M21" s="65">
        <v>7069908.1770000001</v>
      </c>
      <c r="N21" s="65">
        <v>460</v>
      </c>
      <c r="O21" s="65">
        <v>3046996.4163000002</v>
      </c>
    </row>
    <row r="22" spans="2:15" s="18" customFormat="1" ht="18" customHeight="1">
      <c r="B22" s="119"/>
      <c r="C22" s="16" t="s">
        <v>968</v>
      </c>
      <c r="D22" s="65">
        <v>53257</v>
      </c>
      <c r="E22" s="65">
        <v>79175045.38440001</v>
      </c>
      <c r="F22" s="65">
        <v>40550</v>
      </c>
      <c r="G22" s="65">
        <v>45981813.400399998</v>
      </c>
      <c r="H22" s="65">
        <v>9765</v>
      </c>
      <c r="I22" s="65">
        <v>18914084.3112</v>
      </c>
      <c r="J22" s="65">
        <v>96</v>
      </c>
      <c r="K22" s="65">
        <v>420610.7</v>
      </c>
      <c r="L22" s="65">
        <v>2326</v>
      </c>
      <c r="M22" s="65">
        <v>8857580.2701999992</v>
      </c>
      <c r="N22" s="65">
        <v>520</v>
      </c>
      <c r="O22" s="65">
        <v>5000956.7026000004</v>
      </c>
    </row>
    <row r="23" spans="2:15" s="18" customFormat="1" ht="18" customHeight="1">
      <c r="B23" s="119"/>
      <c r="C23" s="16" t="s">
        <v>969</v>
      </c>
      <c r="D23" s="65">
        <v>114685</v>
      </c>
      <c r="E23" s="65">
        <v>74270751.3521</v>
      </c>
      <c r="F23" s="65">
        <v>93694</v>
      </c>
      <c r="G23" s="65">
        <v>41701462.466200002</v>
      </c>
      <c r="H23" s="65">
        <v>18893</v>
      </c>
      <c r="I23" s="65">
        <v>25172125.715999998</v>
      </c>
      <c r="J23" s="65">
        <v>60</v>
      </c>
      <c r="K23" s="65">
        <v>176304.39</v>
      </c>
      <c r="L23" s="65">
        <v>1625</v>
      </c>
      <c r="M23" s="65">
        <v>4869941.3210000005</v>
      </c>
      <c r="N23" s="65">
        <v>413</v>
      </c>
      <c r="O23" s="65">
        <v>2350917.4589</v>
      </c>
    </row>
    <row r="24" spans="2:15" s="18" customFormat="1" ht="18" customHeight="1">
      <c r="B24" s="119"/>
      <c r="C24" s="16" t="s">
        <v>970</v>
      </c>
      <c r="D24" s="65">
        <v>216858</v>
      </c>
      <c r="E24" s="65">
        <v>120036831.7862</v>
      </c>
      <c r="F24" s="65">
        <v>152628</v>
      </c>
      <c r="G24" s="65">
        <v>53377905.3693</v>
      </c>
      <c r="H24" s="65">
        <v>57159</v>
      </c>
      <c r="I24" s="65">
        <v>45849391.708300002</v>
      </c>
      <c r="J24" s="65">
        <v>1270</v>
      </c>
      <c r="K24" s="65">
        <v>968268.84699999995</v>
      </c>
      <c r="L24" s="65">
        <v>4322</v>
      </c>
      <c r="M24" s="65">
        <v>15866428.623</v>
      </c>
      <c r="N24" s="65">
        <v>1479</v>
      </c>
      <c r="O24" s="65">
        <v>3974837.2385999998</v>
      </c>
    </row>
    <row r="25" spans="2:15" s="18" customFormat="1" ht="18" customHeight="1">
      <c r="B25" s="119"/>
      <c r="C25" s="16" t="s">
        <v>918</v>
      </c>
      <c r="D25" s="65">
        <v>31341</v>
      </c>
      <c r="E25" s="65">
        <v>5955376.6014</v>
      </c>
      <c r="F25" s="65">
        <v>21406</v>
      </c>
      <c r="G25" s="65">
        <v>1453468.132</v>
      </c>
      <c r="H25" s="65">
        <v>8321</v>
      </c>
      <c r="I25" s="65">
        <v>2194121.5743999998</v>
      </c>
      <c r="J25" s="65">
        <v>271</v>
      </c>
      <c r="K25" s="65">
        <v>150499.85999999999</v>
      </c>
      <c r="L25" s="65">
        <v>1057</v>
      </c>
      <c r="M25" s="65">
        <v>1938035.095</v>
      </c>
      <c r="N25" s="65">
        <v>286</v>
      </c>
      <c r="O25" s="65">
        <v>219251.94</v>
      </c>
    </row>
    <row r="26" spans="2:15" s="18" customFormat="1" ht="18" customHeight="1">
      <c r="B26" s="119" t="s">
        <v>972</v>
      </c>
      <c r="C26" s="14" t="s">
        <v>917</v>
      </c>
      <c r="D26" s="64">
        <v>348634</v>
      </c>
      <c r="E26" s="64">
        <v>255841080.20170999</v>
      </c>
      <c r="F26" s="64">
        <v>236696</v>
      </c>
      <c r="G26" s="64">
        <v>124624082.49153002</v>
      </c>
      <c r="H26" s="64">
        <v>73754</v>
      </c>
      <c r="I26" s="64">
        <v>64595346.499980003</v>
      </c>
      <c r="J26" s="64">
        <v>15784</v>
      </c>
      <c r="K26" s="64">
        <v>19867250.295200001</v>
      </c>
      <c r="L26" s="64">
        <v>9260</v>
      </c>
      <c r="M26" s="64">
        <v>23981385.440100003</v>
      </c>
      <c r="N26" s="64">
        <v>13140</v>
      </c>
      <c r="O26" s="64">
        <v>22773015.474899996</v>
      </c>
    </row>
    <row r="27" spans="2:15" s="18" customFormat="1" ht="18" customHeight="1">
      <c r="B27" s="119"/>
      <c r="C27" s="16" t="s">
        <v>964</v>
      </c>
      <c r="D27" s="65">
        <v>26162</v>
      </c>
      <c r="E27" s="65">
        <v>47346526.267580003</v>
      </c>
      <c r="F27" s="65">
        <v>9937</v>
      </c>
      <c r="G27" s="65">
        <v>23182407.5799</v>
      </c>
      <c r="H27" s="65">
        <v>11312</v>
      </c>
      <c r="I27" s="65">
        <v>15027340.011779999</v>
      </c>
      <c r="J27" s="65">
        <v>2761</v>
      </c>
      <c r="K27" s="65">
        <v>4231365.3803000003</v>
      </c>
      <c r="L27" s="65">
        <v>912</v>
      </c>
      <c r="M27" s="65">
        <v>2949785.6743999999</v>
      </c>
      <c r="N27" s="65">
        <v>1240</v>
      </c>
      <c r="O27" s="65">
        <v>1955627.6211999999</v>
      </c>
    </row>
    <row r="28" spans="2:15" s="18" customFormat="1" ht="18" customHeight="1">
      <c r="B28" s="119"/>
      <c r="C28" s="16" t="s">
        <v>965</v>
      </c>
      <c r="D28" s="65">
        <v>19246</v>
      </c>
      <c r="E28" s="65">
        <v>31418460.413300004</v>
      </c>
      <c r="F28" s="65">
        <v>8599</v>
      </c>
      <c r="G28" s="65">
        <v>13820393.4515</v>
      </c>
      <c r="H28" s="65">
        <v>6828</v>
      </c>
      <c r="I28" s="65">
        <v>10263216.0856</v>
      </c>
      <c r="J28" s="65">
        <v>2273</v>
      </c>
      <c r="K28" s="65">
        <v>3755408.8901999998</v>
      </c>
      <c r="L28" s="65">
        <v>783</v>
      </c>
      <c r="M28" s="65">
        <v>2545749.9172999999</v>
      </c>
      <c r="N28" s="65">
        <v>763</v>
      </c>
      <c r="O28" s="65">
        <v>1033692.0686999999</v>
      </c>
    </row>
    <row r="29" spans="2:15" s="18" customFormat="1" ht="18" customHeight="1">
      <c r="B29" s="119"/>
      <c r="C29" s="16" t="s">
        <v>966</v>
      </c>
      <c r="D29" s="65">
        <v>13275</v>
      </c>
      <c r="E29" s="65">
        <v>27735408.67013</v>
      </c>
      <c r="F29" s="65">
        <v>3900</v>
      </c>
      <c r="G29" s="65">
        <v>13611067.53703</v>
      </c>
      <c r="H29" s="65">
        <v>5029</v>
      </c>
      <c r="I29" s="65">
        <v>6701209.2746000001</v>
      </c>
      <c r="J29" s="65">
        <v>2252</v>
      </c>
      <c r="K29" s="65">
        <v>2773016.5191000002</v>
      </c>
      <c r="L29" s="65">
        <v>1029</v>
      </c>
      <c r="M29" s="65">
        <v>3023744.5265000002</v>
      </c>
      <c r="N29" s="65">
        <v>1065</v>
      </c>
      <c r="O29" s="65">
        <v>1626370.8129</v>
      </c>
    </row>
    <row r="30" spans="2:15" s="18" customFormat="1" ht="18" customHeight="1">
      <c r="B30" s="119"/>
      <c r="C30" s="16" t="s">
        <v>967</v>
      </c>
      <c r="D30" s="65">
        <v>22951</v>
      </c>
      <c r="E30" s="65">
        <v>30328708.782799996</v>
      </c>
      <c r="F30" s="65">
        <v>11297</v>
      </c>
      <c r="G30" s="65">
        <v>14950693.729900001</v>
      </c>
      <c r="H30" s="65">
        <v>6551</v>
      </c>
      <c r="I30" s="65">
        <v>7349275.443</v>
      </c>
      <c r="J30" s="65">
        <v>2356</v>
      </c>
      <c r="K30" s="65">
        <v>2983479.3901</v>
      </c>
      <c r="L30" s="65">
        <v>1002</v>
      </c>
      <c r="M30" s="65">
        <v>2864573.0443000002</v>
      </c>
      <c r="N30" s="65">
        <v>1745</v>
      </c>
      <c r="O30" s="65">
        <v>2180687.1754999999</v>
      </c>
    </row>
    <row r="31" spans="2:15" s="18" customFormat="1" ht="18" customHeight="1">
      <c r="B31" s="119"/>
      <c r="C31" s="16" t="s">
        <v>968</v>
      </c>
      <c r="D31" s="65">
        <v>22159</v>
      </c>
      <c r="E31" s="65">
        <v>39888355.874699995</v>
      </c>
      <c r="F31" s="65">
        <v>13521</v>
      </c>
      <c r="G31" s="65">
        <v>18904122.237799998</v>
      </c>
      <c r="H31" s="65">
        <v>5477</v>
      </c>
      <c r="I31" s="65">
        <v>6350377.4692000002</v>
      </c>
      <c r="J31" s="65">
        <v>760</v>
      </c>
      <c r="K31" s="65">
        <v>1242358.4395000001</v>
      </c>
      <c r="L31" s="65">
        <v>1060</v>
      </c>
      <c r="M31" s="65">
        <v>2638491.6586000002</v>
      </c>
      <c r="N31" s="65">
        <v>1341</v>
      </c>
      <c r="O31" s="65">
        <v>10753006.069599999</v>
      </c>
    </row>
    <row r="32" spans="2:15" s="18" customFormat="1" ht="18" customHeight="1">
      <c r="B32" s="119"/>
      <c r="C32" s="16" t="s">
        <v>969</v>
      </c>
      <c r="D32" s="65">
        <v>37129</v>
      </c>
      <c r="E32" s="65">
        <v>28820657.936799999</v>
      </c>
      <c r="F32" s="65">
        <v>25513</v>
      </c>
      <c r="G32" s="65">
        <v>16199472.3125</v>
      </c>
      <c r="H32" s="65">
        <v>8593</v>
      </c>
      <c r="I32" s="65">
        <v>6827554.9517000001</v>
      </c>
      <c r="J32" s="65">
        <v>1195</v>
      </c>
      <c r="K32" s="65">
        <v>1538833.4850000001</v>
      </c>
      <c r="L32" s="65">
        <v>912</v>
      </c>
      <c r="M32" s="65">
        <v>1595594.8725000001</v>
      </c>
      <c r="N32" s="65">
        <v>916</v>
      </c>
      <c r="O32" s="65">
        <v>2659202.3150999998</v>
      </c>
    </row>
    <row r="33" spans="2:15" s="18" customFormat="1" ht="18" customHeight="1">
      <c r="B33" s="119"/>
      <c r="C33" s="16" t="s">
        <v>970</v>
      </c>
      <c r="D33" s="65">
        <v>174419</v>
      </c>
      <c r="E33" s="65">
        <v>46105720.715700008</v>
      </c>
      <c r="F33" s="65">
        <v>137120</v>
      </c>
      <c r="G33" s="65">
        <v>22498920.074700002</v>
      </c>
      <c r="H33" s="65">
        <v>25938</v>
      </c>
      <c r="I33" s="65">
        <v>11138355.2081</v>
      </c>
      <c r="J33" s="65">
        <v>3442</v>
      </c>
      <c r="K33" s="65">
        <v>2949002.34</v>
      </c>
      <c r="L33" s="65">
        <v>2934</v>
      </c>
      <c r="M33" s="65">
        <v>7349287.466</v>
      </c>
      <c r="N33" s="65">
        <v>4985</v>
      </c>
      <c r="O33" s="65">
        <v>2170155.6269</v>
      </c>
    </row>
    <row r="34" spans="2:15" s="18" customFormat="1" ht="18" customHeight="1">
      <c r="B34" s="119"/>
      <c r="C34" s="16" t="s">
        <v>918</v>
      </c>
      <c r="D34" s="65">
        <v>33293</v>
      </c>
      <c r="E34" s="65">
        <v>4197241.5406999998</v>
      </c>
      <c r="F34" s="65">
        <v>26809</v>
      </c>
      <c r="G34" s="65">
        <v>1457005.5682000001</v>
      </c>
      <c r="H34" s="65">
        <v>4026</v>
      </c>
      <c r="I34" s="65">
        <v>938018.05599999998</v>
      </c>
      <c r="J34" s="65">
        <v>745</v>
      </c>
      <c r="K34" s="65">
        <v>393785.85100000002</v>
      </c>
      <c r="L34" s="65">
        <v>628</v>
      </c>
      <c r="M34" s="65">
        <v>1014158.2805</v>
      </c>
      <c r="N34" s="65">
        <v>1085</v>
      </c>
      <c r="O34" s="65">
        <v>394273.78499999997</v>
      </c>
    </row>
    <row r="35" spans="2:15" s="18" customFormat="1" ht="18" customHeight="1">
      <c r="B35" s="119" t="s">
        <v>973</v>
      </c>
      <c r="C35" s="14" t="s">
        <v>917</v>
      </c>
      <c r="D35" s="64">
        <v>256241</v>
      </c>
      <c r="E35" s="64">
        <v>181440260.67039999</v>
      </c>
      <c r="F35" s="64">
        <v>168976</v>
      </c>
      <c r="G35" s="64">
        <v>95283308.701099992</v>
      </c>
      <c r="H35" s="64">
        <v>54117</v>
      </c>
      <c r="I35" s="64">
        <v>45453595.508600011</v>
      </c>
      <c r="J35" s="64">
        <v>13375</v>
      </c>
      <c r="K35" s="64">
        <v>16290192.487199999</v>
      </c>
      <c r="L35" s="64">
        <v>6637</v>
      </c>
      <c r="M35" s="64">
        <v>16051156.160600003</v>
      </c>
      <c r="N35" s="64">
        <v>13136</v>
      </c>
      <c r="O35" s="64">
        <v>8362007.8129000003</v>
      </c>
    </row>
    <row r="36" spans="2:15" s="18" customFormat="1" ht="18" customHeight="1">
      <c r="B36" s="119"/>
      <c r="C36" s="16" t="s">
        <v>964</v>
      </c>
      <c r="D36" s="65">
        <v>25759</v>
      </c>
      <c r="E36" s="65">
        <v>40389909.368299991</v>
      </c>
      <c r="F36" s="65">
        <v>12559</v>
      </c>
      <c r="G36" s="65">
        <v>19572075.3354</v>
      </c>
      <c r="H36" s="65">
        <v>8502</v>
      </c>
      <c r="I36" s="65">
        <v>13118459.794</v>
      </c>
      <c r="J36" s="65">
        <v>1749</v>
      </c>
      <c r="K36" s="65">
        <v>3350409.2884999998</v>
      </c>
      <c r="L36" s="65">
        <v>987</v>
      </c>
      <c r="M36" s="65">
        <v>2964080.5301999999</v>
      </c>
      <c r="N36" s="65">
        <v>1962</v>
      </c>
      <c r="O36" s="65">
        <v>1384884.4202000001</v>
      </c>
    </row>
    <row r="37" spans="2:15" s="18" customFormat="1" ht="18" customHeight="1">
      <c r="B37" s="119"/>
      <c r="C37" s="16" t="s">
        <v>965</v>
      </c>
      <c r="D37" s="65">
        <v>16748</v>
      </c>
      <c r="E37" s="65">
        <v>16003209.9385</v>
      </c>
      <c r="F37" s="65">
        <v>8434</v>
      </c>
      <c r="G37" s="65">
        <v>7500508.5080000004</v>
      </c>
      <c r="H37" s="65">
        <v>4675</v>
      </c>
      <c r="I37" s="65">
        <v>3615392.3668999998</v>
      </c>
      <c r="J37" s="65">
        <v>1710</v>
      </c>
      <c r="K37" s="65">
        <v>2280203.3714999999</v>
      </c>
      <c r="L37" s="65">
        <v>668</v>
      </c>
      <c r="M37" s="65">
        <v>1904109.4834</v>
      </c>
      <c r="N37" s="65">
        <v>1261</v>
      </c>
      <c r="O37" s="65">
        <v>702996.20869999996</v>
      </c>
    </row>
    <row r="38" spans="2:15" s="18" customFormat="1" ht="18" customHeight="1">
      <c r="B38" s="119"/>
      <c r="C38" s="16" t="s">
        <v>966</v>
      </c>
      <c r="D38" s="65">
        <v>14216</v>
      </c>
      <c r="E38" s="65">
        <v>22367559.060500003</v>
      </c>
      <c r="F38" s="65">
        <v>6386</v>
      </c>
      <c r="G38" s="65">
        <v>14491518.6537</v>
      </c>
      <c r="H38" s="65">
        <v>3952</v>
      </c>
      <c r="I38" s="65">
        <v>3170844.2403000002</v>
      </c>
      <c r="J38" s="65">
        <v>1524</v>
      </c>
      <c r="K38" s="65">
        <v>1715932.6710000001</v>
      </c>
      <c r="L38" s="65">
        <v>824</v>
      </c>
      <c r="M38" s="65">
        <v>2081190.5496</v>
      </c>
      <c r="N38" s="65">
        <v>1530</v>
      </c>
      <c r="O38" s="65">
        <v>908072.94590000005</v>
      </c>
    </row>
    <row r="39" spans="2:15" s="18" customFormat="1" ht="18" customHeight="1">
      <c r="B39" s="119"/>
      <c r="C39" s="16" t="s">
        <v>967</v>
      </c>
      <c r="D39" s="65">
        <v>22306</v>
      </c>
      <c r="E39" s="65">
        <v>22262755.3094</v>
      </c>
      <c r="F39" s="65">
        <v>12932</v>
      </c>
      <c r="G39" s="65">
        <v>12117881.627499999</v>
      </c>
      <c r="H39" s="65">
        <v>4949</v>
      </c>
      <c r="I39" s="65">
        <v>4800824.6676000003</v>
      </c>
      <c r="J39" s="65">
        <v>2029</v>
      </c>
      <c r="K39" s="65">
        <v>1740152.379</v>
      </c>
      <c r="L39" s="65">
        <v>889</v>
      </c>
      <c r="M39" s="65">
        <v>2670715.7414000002</v>
      </c>
      <c r="N39" s="65">
        <v>1507</v>
      </c>
      <c r="O39" s="65">
        <v>933180.89390000002</v>
      </c>
    </row>
    <row r="40" spans="2:15" s="18" customFormat="1" ht="18" customHeight="1">
      <c r="B40" s="119"/>
      <c r="C40" s="16" t="s">
        <v>968</v>
      </c>
      <c r="D40" s="65">
        <v>25674</v>
      </c>
      <c r="E40" s="65">
        <v>25650328.053130001</v>
      </c>
      <c r="F40" s="65">
        <v>16333</v>
      </c>
      <c r="G40" s="65">
        <v>14519579.83563</v>
      </c>
      <c r="H40" s="65">
        <v>5083</v>
      </c>
      <c r="I40" s="65">
        <v>5287621.7522999998</v>
      </c>
      <c r="J40" s="65">
        <v>1226</v>
      </c>
      <c r="K40" s="65">
        <v>1572686.2667</v>
      </c>
      <c r="L40" s="65">
        <v>1015</v>
      </c>
      <c r="M40" s="65">
        <v>2386757.5424000002</v>
      </c>
      <c r="N40" s="65">
        <v>2017</v>
      </c>
      <c r="O40" s="65">
        <v>1883682.6561</v>
      </c>
    </row>
    <row r="41" spans="2:15" s="18" customFormat="1" ht="18" customHeight="1">
      <c r="B41" s="119"/>
      <c r="C41" s="16" t="s">
        <v>969</v>
      </c>
      <c r="D41" s="65">
        <v>37739</v>
      </c>
      <c r="E41" s="65">
        <v>26674514.921300001</v>
      </c>
      <c r="F41" s="65">
        <v>26981</v>
      </c>
      <c r="G41" s="65">
        <v>14098561.224199999</v>
      </c>
      <c r="H41" s="65">
        <v>6805</v>
      </c>
      <c r="I41" s="65">
        <v>7827980.2454000004</v>
      </c>
      <c r="J41" s="65">
        <v>1934</v>
      </c>
      <c r="K41" s="65">
        <v>2373155.4500000002</v>
      </c>
      <c r="L41" s="65">
        <v>680</v>
      </c>
      <c r="M41" s="65">
        <v>1293533.3033</v>
      </c>
      <c r="N41" s="65">
        <v>1339</v>
      </c>
      <c r="O41" s="65">
        <v>1081284.6984000001</v>
      </c>
    </row>
    <row r="42" spans="2:15" s="18" customFormat="1" ht="18" customHeight="1">
      <c r="B42" s="119"/>
      <c r="C42" s="16" t="s">
        <v>970</v>
      </c>
      <c r="D42" s="65">
        <v>109689</v>
      </c>
      <c r="E42" s="65">
        <v>26501635.92227</v>
      </c>
      <c r="F42" s="65">
        <v>83247</v>
      </c>
      <c r="G42" s="65">
        <v>12795191.42767</v>
      </c>
      <c r="H42" s="65">
        <v>19052</v>
      </c>
      <c r="I42" s="65">
        <v>7442151.3721000003</v>
      </c>
      <c r="J42" s="65">
        <v>3064</v>
      </c>
      <c r="K42" s="65">
        <v>3159405.7705000001</v>
      </c>
      <c r="L42" s="65">
        <v>1191</v>
      </c>
      <c r="M42" s="65">
        <v>1823727.801</v>
      </c>
      <c r="N42" s="65">
        <v>3135</v>
      </c>
      <c r="O42" s="65">
        <v>1281159.551</v>
      </c>
    </row>
    <row r="43" spans="2:15" s="18" customFormat="1" ht="18" customHeight="1">
      <c r="B43" s="119"/>
      <c r="C43" s="16" t="s">
        <v>918</v>
      </c>
      <c r="D43" s="65">
        <v>4110</v>
      </c>
      <c r="E43" s="65">
        <v>1590348.0970000001</v>
      </c>
      <c r="F43" s="65">
        <v>2104</v>
      </c>
      <c r="G43" s="65">
        <v>187992.08900000001</v>
      </c>
      <c r="H43" s="65">
        <v>1099</v>
      </c>
      <c r="I43" s="65">
        <v>190321.07</v>
      </c>
      <c r="J43" s="65">
        <v>139</v>
      </c>
      <c r="K43" s="65">
        <v>98247.29</v>
      </c>
      <c r="L43" s="65">
        <v>383</v>
      </c>
      <c r="M43" s="65">
        <v>927041.20929999999</v>
      </c>
      <c r="N43" s="65">
        <v>385</v>
      </c>
      <c r="O43" s="65">
        <v>186746.4387</v>
      </c>
    </row>
    <row r="44" spans="2:15" s="18" customFormat="1" ht="18" customHeight="1">
      <c r="B44" s="119" t="s">
        <v>974</v>
      </c>
      <c r="C44" s="14" t="s">
        <v>917</v>
      </c>
      <c r="D44" s="64">
        <v>221783</v>
      </c>
      <c r="E44" s="64">
        <v>223037992.89855</v>
      </c>
      <c r="F44" s="64">
        <v>138739</v>
      </c>
      <c r="G44" s="64">
        <v>107415459.67935</v>
      </c>
      <c r="H44" s="64">
        <v>47743</v>
      </c>
      <c r="I44" s="64">
        <v>55915629.386599988</v>
      </c>
      <c r="J44" s="64">
        <v>14723</v>
      </c>
      <c r="K44" s="64">
        <v>25115385.690900002</v>
      </c>
      <c r="L44" s="64">
        <v>6664</v>
      </c>
      <c r="M44" s="64">
        <v>18087501.637499999</v>
      </c>
      <c r="N44" s="64">
        <v>13914</v>
      </c>
      <c r="O44" s="64">
        <v>16504016.504199998</v>
      </c>
    </row>
    <row r="45" spans="2:15" s="18" customFormat="1" ht="18" customHeight="1">
      <c r="B45" s="119"/>
      <c r="C45" s="16" t="s">
        <v>964</v>
      </c>
      <c r="D45" s="65">
        <v>33453</v>
      </c>
      <c r="E45" s="65">
        <v>62597592.19264999</v>
      </c>
      <c r="F45" s="65">
        <v>16293</v>
      </c>
      <c r="G45" s="65">
        <v>24715186.25595</v>
      </c>
      <c r="H45" s="65">
        <v>9682</v>
      </c>
      <c r="I45" s="65">
        <v>20566241.0638</v>
      </c>
      <c r="J45" s="65">
        <v>3483</v>
      </c>
      <c r="K45" s="65">
        <v>7899344.8392000003</v>
      </c>
      <c r="L45" s="65">
        <v>998</v>
      </c>
      <c r="M45" s="65">
        <v>3375089.6104000001</v>
      </c>
      <c r="N45" s="65">
        <v>2997</v>
      </c>
      <c r="O45" s="65">
        <v>6041730.4232999999</v>
      </c>
    </row>
    <row r="46" spans="2:15" s="18" customFormat="1" ht="18" customHeight="1">
      <c r="B46" s="119"/>
      <c r="C46" s="16" t="s">
        <v>965</v>
      </c>
      <c r="D46" s="65">
        <v>18443</v>
      </c>
      <c r="E46" s="65">
        <v>28597695.583600003</v>
      </c>
      <c r="F46" s="65">
        <v>10071</v>
      </c>
      <c r="G46" s="65">
        <v>14734911.069</v>
      </c>
      <c r="H46" s="65">
        <v>4104</v>
      </c>
      <c r="I46" s="65">
        <v>5967860.7418</v>
      </c>
      <c r="J46" s="65">
        <v>1875</v>
      </c>
      <c r="K46" s="65">
        <v>3074225.4350999999</v>
      </c>
      <c r="L46" s="65">
        <v>958</v>
      </c>
      <c r="M46" s="65">
        <v>3366064.7433000002</v>
      </c>
      <c r="N46" s="65">
        <v>1435</v>
      </c>
      <c r="O46" s="65">
        <v>1454633.5944000001</v>
      </c>
    </row>
    <row r="47" spans="2:15" s="18" customFormat="1" ht="18" customHeight="1">
      <c r="B47" s="119"/>
      <c r="C47" s="16" t="s">
        <v>966</v>
      </c>
      <c r="D47" s="65">
        <v>17204</v>
      </c>
      <c r="E47" s="65">
        <v>26203468.230799999</v>
      </c>
      <c r="F47" s="65">
        <v>7782</v>
      </c>
      <c r="G47" s="65">
        <v>13393343.519400001</v>
      </c>
      <c r="H47" s="65">
        <v>5050</v>
      </c>
      <c r="I47" s="65">
        <v>6217607.1637000004</v>
      </c>
      <c r="J47" s="65">
        <v>1615</v>
      </c>
      <c r="K47" s="65">
        <v>2330633.8530000001</v>
      </c>
      <c r="L47" s="65">
        <v>919</v>
      </c>
      <c r="M47" s="65">
        <v>2891631.2335000001</v>
      </c>
      <c r="N47" s="65">
        <v>1838</v>
      </c>
      <c r="O47" s="65">
        <v>1370252.4612</v>
      </c>
    </row>
    <row r="48" spans="2:15" s="18" customFormat="1" ht="18" customHeight="1">
      <c r="B48" s="119"/>
      <c r="C48" s="16" t="s">
        <v>967</v>
      </c>
      <c r="D48" s="65">
        <v>22366</v>
      </c>
      <c r="E48" s="65">
        <v>24432645.870499998</v>
      </c>
      <c r="F48" s="65">
        <v>13064</v>
      </c>
      <c r="G48" s="65">
        <v>11142393.403100001</v>
      </c>
      <c r="H48" s="65">
        <v>5321</v>
      </c>
      <c r="I48" s="65">
        <v>7728292.4293999998</v>
      </c>
      <c r="J48" s="65">
        <v>1796</v>
      </c>
      <c r="K48" s="65">
        <v>2211673.04</v>
      </c>
      <c r="L48" s="65">
        <v>835</v>
      </c>
      <c r="M48" s="65">
        <v>2439916.9934</v>
      </c>
      <c r="N48" s="65">
        <v>1350</v>
      </c>
      <c r="O48" s="65">
        <v>910370.00459999999</v>
      </c>
    </row>
    <row r="49" spans="2:15" s="18" customFormat="1" ht="18" customHeight="1">
      <c r="B49" s="119"/>
      <c r="C49" s="16" t="s">
        <v>968</v>
      </c>
      <c r="D49" s="65">
        <v>19945</v>
      </c>
      <c r="E49" s="65">
        <v>25812785.339900002</v>
      </c>
      <c r="F49" s="65">
        <v>10958</v>
      </c>
      <c r="G49" s="65">
        <v>13047257.407099999</v>
      </c>
      <c r="H49" s="65">
        <v>4425</v>
      </c>
      <c r="I49" s="65">
        <v>4818041.3194000004</v>
      </c>
      <c r="J49" s="65">
        <v>1415</v>
      </c>
      <c r="K49" s="65">
        <v>2024777.5903</v>
      </c>
      <c r="L49" s="65">
        <v>1090</v>
      </c>
      <c r="M49" s="65">
        <v>3036417.5310999998</v>
      </c>
      <c r="N49" s="65">
        <v>2057</v>
      </c>
      <c r="O49" s="65">
        <v>2886291.4920000001</v>
      </c>
    </row>
    <row r="50" spans="2:15" s="18" customFormat="1" ht="18" customHeight="1">
      <c r="B50" s="119"/>
      <c r="C50" s="16" t="s">
        <v>969</v>
      </c>
      <c r="D50" s="65">
        <v>28465</v>
      </c>
      <c r="E50" s="65">
        <v>29768882.803299997</v>
      </c>
      <c r="F50" s="65">
        <v>18784</v>
      </c>
      <c r="G50" s="65">
        <v>17514423.689599998</v>
      </c>
      <c r="H50" s="65">
        <v>5553</v>
      </c>
      <c r="I50" s="65">
        <v>4975267.7330999998</v>
      </c>
      <c r="J50" s="65">
        <v>2168</v>
      </c>
      <c r="K50" s="65">
        <v>3650140.5723000001</v>
      </c>
      <c r="L50" s="65">
        <v>576</v>
      </c>
      <c r="M50" s="65">
        <v>1030532.1838999999</v>
      </c>
      <c r="N50" s="65">
        <v>1384</v>
      </c>
      <c r="O50" s="65">
        <v>2598518.6244000001</v>
      </c>
    </row>
    <row r="51" spans="2:15" s="18" customFormat="1" ht="18" customHeight="1">
      <c r="B51" s="119"/>
      <c r="C51" s="16" t="s">
        <v>970</v>
      </c>
      <c r="D51" s="65">
        <v>63022</v>
      </c>
      <c r="E51" s="65">
        <v>23008473.3563</v>
      </c>
      <c r="F51" s="65">
        <v>46756</v>
      </c>
      <c r="G51" s="65">
        <v>11975602.5174</v>
      </c>
      <c r="H51" s="65">
        <v>11238</v>
      </c>
      <c r="I51" s="65">
        <v>5163497.3546000002</v>
      </c>
      <c r="J51" s="65">
        <v>1978</v>
      </c>
      <c r="K51" s="65">
        <v>3432811.6349999998</v>
      </c>
      <c r="L51" s="65">
        <v>898</v>
      </c>
      <c r="M51" s="65">
        <v>1433603.487</v>
      </c>
      <c r="N51" s="65">
        <v>2152</v>
      </c>
      <c r="O51" s="65">
        <v>1002958.3623</v>
      </c>
    </row>
    <row r="52" spans="2:15" s="18" customFormat="1" ht="18" customHeight="1">
      <c r="B52" s="119"/>
      <c r="C52" s="16" t="s">
        <v>918</v>
      </c>
      <c r="D52" s="65">
        <v>18885</v>
      </c>
      <c r="E52" s="65">
        <v>2616449.5214999998</v>
      </c>
      <c r="F52" s="65">
        <v>15031</v>
      </c>
      <c r="G52" s="65">
        <v>892341.81779999996</v>
      </c>
      <c r="H52" s="65">
        <v>2370</v>
      </c>
      <c r="I52" s="65">
        <v>478821.5808</v>
      </c>
      <c r="J52" s="65">
        <v>393</v>
      </c>
      <c r="K52" s="65">
        <v>491778.72600000002</v>
      </c>
      <c r="L52" s="65">
        <v>390</v>
      </c>
      <c r="M52" s="65">
        <v>514245.85489999998</v>
      </c>
      <c r="N52" s="65">
        <v>701</v>
      </c>
      <c r="O52" s="65">
        <v>239261.54199999999</v>
      </c>
    </row>
    <row r="53" spans="2:15" s="18" customFormat="1" ht="18" customHeight="1">
      <c r="B53" s="119" t="s">
        <v>975</v>
      </c>
      <c r="C53" s="14" t="s">
        <v>917</v>
      </c>
      <c r="D53" s="64">
        <v>136197</v>
      </c>
      <c r="E53" s="64">
        <v>110111574.49069999</v>
      </c>
      <c r="F53" s="64">
        <v>89137</v>
      </c>
      <c r="G53" s="64">
        <v>59857077.917500004</v>
      </c>
      <c r="H53" s="64">
        <v>33625</v>
      </c>
      <c r="I53" s="64">
        <v>24411787.726999998</v>
      </c>
      <c r="J53" s="64">
        <v>4404</v>
      </c>
      <c r="K53" s="64">
        <v>8781783.8344000001</v>
      </c>
      <c r="L53" s="64">
        <v>4056</v>
      </c>
      <c r="M53" s="64">
        <v>12869131.6611</v>
      </c>
      <c r="N53" s="64">
        <v>4975</v>
      </c>
      <c r="O53" s="64">
        <v>4191793.3507000003</v>
      </c>
    </row>
    <row r="54" spans="2:15" s="18" customFormat="1" ht="18" customHeight="1">
      <c r="B54" s="119"/>
      <c r="C54" s="16" t="s">
        <v>964</v>
      </c>
      <c r="D54" s="65">
        <v>15462</v>
      </c>
      <c r="E54" s="65">
        <v>21504895.034699999</v>
      </c>
      <c r="F54" s="65">
        <v>6861</v>
      </c>
      <c r="G54" s="65">
        <v>11369848.945599999</v>
      </c>
      <c r="H54" s="65">
        <v>5771</v>
      </c>
      <c r="I54" s="65">
        <v>5424532.4727999996</v>
      </c>
      <c r="J54" s="65">
        <v>1239</v>
      </c>
      <c r="K54" s="65">
        <v>2161369.3966000001</v>
      </c>
      <c r="L54" s="65">
        <v>551</v>
      </c>
      <c r="M54" s="65">
        <v>1521306.2734000001</v>
      </c>
      <c r="N54" s="65">
        <v>1040</v>
      </c>
      <c r="O54" s="65">
        <v>1027837.9463</v>
      </c>
    </row>
    <row r="55" spans="2:15" s="18" customFormat="1" ht="18" customHeight="1">
      <c r="B55" s="119"/>
      <c r="C55" s="16" t="s">
        <v>965</v>
      </c>
      <c r="D55" s="65">
        <v>11374</v>
      </c>
      <c r="E55" s="65">
        <v>12206767.216899998</v>
      </c>
      <c r="F55" s="65">
        <v>5883</v>
      </c>
      <c r="G55" s="65">
        <v>6020196.6808000002</v>
      </c>
      <c r="H55" s="65">
        <v>3556</v>
      </c>
      <c r="I55" s="65">
        <v>2676521.5946</v>
      </c>
      <c r="J55" s="65">
        <v>728</v>
      </c>
      <c r="K55" s="65">
        <v>1537502.0828</v>
      </c>
      <c r="L55" s="65">
        <v>529</v>
      </c>
      <c r="M55" s="65">
        <v>1491558.3385000001</v>
      </c>
      <c r="N55" s="65">
        <v>678</v>
      </c>
      <c r="O55" s="65">
        <v>480988.52020000003</v>
      </c>
    </row>
    <row r="56" spans="2:15" s="18" customFormat="1" ht="18" customHeight="1">
      <c r="B56" s="119"/>
      <c r="C56" s="16" t="s">
        <v>966</v>
      </c>
      <c r="D56" s="65">
        <v>9234</v>
      </c>
      <c r="E56" s="65">
        <v>15263500.502499999</v>
      </c>
      <c r="F56" s="65">
        <v>4378</v>
      </c>
      <c r="G56" s="65">
        <v>9523287.5048999991</v>
      </c>
      <c r="H56" s="65">
        <v>3035</v>
      </c>
      <c r="I56" s="65">
        <v>2562888.7420000001</v>
      </c>
      <c r="J56" s="65">
        <v>512</v>
      </c>
      <c r="K56" s="65">
        <v>860719.46600000001</v>
      </c>
      <c r="L56" s="65">
        <v>605</v>
      </c>
      <c r="M56" s="65">
        <v>1790821.1447999999</v>
      </c>
      <c r="N56" s="65">
        <v>704</v>
      </c>
      <c r="O56" s="65">
        <v>525783.64480000001</v>
      </c>
    </row>
    <row r="57" spans="2:15" s="18" customFormat="1" ht="18" customHeight="1">
      <c r="B57" s="119"/>
      <c r="C57" s="16" t="s">
        <v>967</v>
      </c>
      <c r="D57" s="65">
        <v>11326</v>
      </c>
      <c r="E57" s="65">
        <v>17753609.141100001</v>
      </c>
      <c r="F57" s="65">
        <v>5351</v>
      </c>
      <c r="G57" s="65">
        <v>8268386.3727000002</v>
      </c>
      <c r="H57" s="65">
        <v>3917</v>
      </c>
      <c r="I57" s="65">
        <v>3973020.5695000002</v>
      </c>
      <c r="J57" s="65">
        <v>719</v>
      </c>
      <c r="K57" s="65">
        <v>981964.37699999998</v>
      </c>
      <c r="L57" s="65">
        <v>660</v>
      </c>
      <c r="M57" s="65">
        <v>3898063.9467000002</v>
      </c>
      <c r="N57" s="65">
        <v>679</v>
      </c>
      <c r="O57" s="65">
        <v>632173.87520000001</v>
      </c>
    </row>
    <row r="58" spans="2:15" s="18" customFormat="1" ht="18" customHeight="1">
      <c r="B58" s="119"/>
      <c r="C58" s="16" t="s">
        <v>968</v>
      </c>
      <c r="D58" s="65">
        <v>10936</v>
      </c>
      <c r="E58" s="65">
        <v>15788331.685000001</v>
      </c>
      <c r="F58" s="65">
        <v>6286</v>
      </c>
      <c r="G58" s="65">
        <v>8985257.9997000005</v>
      </c>
      <c r="H58" s="65">
        <v>3296</v>
      </c>
      <c r="I58" s="65">
        <v>4014087.7895999998</v>
      </c>
      <c r="J58" s="65">
        <v>317</v>
      </c>
      <c r="K58" s="65">
        <v>665186.76100000006</v>
      </c>
      <c r="L58" s="65">
        <v>534</v>
      </c>
      <c r="M58" s="65">
        <v>1578644.2169999999</v>
      </c>
      <c r="N58" s="65">
        <v>503</v>
      </c>
      <c r="O58" s="65">
        <v>545154.91769999999</v>
      </c>
    </row>
    <row r="59" spans="2:15" s="18" customFormat="1" ht="18" customHeight="1">
      <c r="B59" s="119"/>
      <c r="C59" s="16" t="s">
        <v>969</v>
      </c>
      <c r="D59" s="65">
        <v>14250</v>
      </c>
      <c r="E59" s="65">
        <v>12628223.643099999</v>
      </c>
      <c r="F59" s="65">
        <v>9142</v>
      </c>
      <c r="G59" s="65">
        <v>8038158.1834000004</v>
      </c>
      <c r="H59" s="65">
        <v>4134</v>
      </c>
      <c r="I59" s="65">
        <v>2499098.6587</v>
      </c>
      <c r="J59" s="65">
        <v>362</v>
      </c>
      <c r="K59" s="65">
        <v>1036918.535</v>
      </c>
      <c r="L59" s="65">
        <v>313</v>
      </c>
      <c r="M59" s="65">
        <v>630107.02450000006</v>
      </c>
      <c r="N59" s="65">
        <v>299</v>
      </c>
      <c r="O59" s="65">
        <v>423941.2415</v>
      </c>
    </row>
    <row r="60" spans="2:15" s="18" customFormat="1" ht="18" customHeight="1">
      <c r="B60" s="119"/>
      <c r="C60" s="16" t="s">
        <v>970</v>
      </c>
      <c r="D60" s="65">
        <v>46228</v>
      </c>
      <c r="E60" s="65">
        <v>12270138.7554</v>
      </c>
      <c r="F60" s="65">
        <v>36966</v>
      </c>
      <c r="G60" s="65">
        <v>6767117.6419000002</v>
      </c>
      <c r="H60" s="65">
        <v>7717</v>
      </c>
      <c r="I60" s="65">
        <v>2837257.0732999998</v>
      </c>
      <c r="J60" s="65">
        <v>426</v>
      </c>
      <c r="K60" s="65">
        <v>1256537.2180000001</v>
      </c>
      <c r="L60" s="65">
        <v>480</v>
      </c>
      <c r="M60" s="65">
        <v>1018227.5912</v>
      </c>
      <c r="N60" s="65">
        <v>639</v>
      </c>
      <c r="O60" s="65">
        <v>390999.23100000003</v>
      </c>
    </row>
    <row r="61" spans="2:15" s="18" customFormat="1" ht="18" customHeight="1">
      <c r="B61" s="119"/>
      <c r="C61" s="16" t="s">
        <v>918</v>
      </c>
      <c r="D61" s="65">
        <v>17387</v>
      </c>
      <c r="E61" s="65">
        <v>2696108.5120000001</v>
      </c>
      <c r="F61" s="65">
        <v>14270</v>
      </c>
      <c r="G61" s="65">
        <v>884824.58849999995</v>
      </c>
      <c r="H61" s="65">
        <v>2199</v>
      </c>
      <c r="I61" s="65">
        <v>424380.82650000002</v>
      </c>
      <c r="J61" s="65">
        <v>101</v>
      </c>
      <c r="K61" s="65">
        <v>281585.99800000002</v>
      </c>
      <c r="L61" s="65">
        <v>384</v>
      </c>
      <c r="M61" s="65">
        <v>940403.125</v>
      </c>
      <c r="N61" s="65">
        <v>433</v>
      </c>
      <c r="O61" s="65">
        <v>164913.97399999999</v>
      </c>
    </row>
    <row r="62" spans="2:15" s="18" customFormat="1" ht="18" customHeight="1">
      <c r="B62" s="119" t="s">
        <v>976</v>
      </c>
      <c r="C62" s="14" t="s">
        <v>917</v>
      </c>
      <c r="D62" s="64">
        <v>131054</v>
      </c>
      <c r="E62" s="64">
        <v>116351917.30185001</v>
      </c>
      <c r="F62" s="64">
        <v>90228</v>
      </c>
      <c r="G62" s="64">
        <v>57280772.308499992</v>
      </c>
      <c r="H62" s="64">
        <v>27220</v>
      </c>
      <c r="I62" s="64">
        <v>25161964.497899994</v>
      </c>
      <c r="J62" s="64">
        <v>3028</v>
      </c>
      <c r="K62" s="64">
        <v>5662874.7257000003</v>
      </c>
      <c r="L62" s="64">
        <v>5043</v>
      </c>
      <c r="M62" s="64">
        <v>15094653.012049999</v>
      </c>
      <c r="N62" s="64">
        <v>5535</v>
      </c>
      <c r="O62" s="64">
        <v>13151652.757699998</v>
      </c>
    </row>
    <row r="63" spans="2:15" s="18" customFormat="1" ht="18" customHeight="1">
      <c r="B63" s="119"/>
      <c r="C63" s="16" t="s">
        <v>964</v>
      </c>
      <c r="D63" s="65">
        <v>15061</v>
      </c>
      <c r="E63" s="65">
        <v>17706777.018400002</v>
      </c>
      <c r="F63" s="65">
        <v>9088</v>
      </c>
      <c r="G63" s="65">
        <v>8625542.3383000009</v>
      </c>
      <c r="H63" s="65">
        <v>3750</v>
      </c>
      <c r="I63" s="65">
        <v>4800708.9737999998</v>
      </c>
      <c r="J63" s="65">
        <v>641</v>
      </c>
      <c r="K63" s="65">
        <v>1190600.3927</v>
      </c>
      <c r="L63" s="65">
        <v>698</v>
      </c>
      <c r="M63" s="65">
        <v>2231665.6954000001</v>
      </c>
      <c r="N63" s="65">
        <v>884</v>
      </c>
      <c r="O63" s="65">
        <v>858259.61820000003</v>
      </c>
    </row>
    <row r="64" spans="2:15" s="18" customFormat="1" ht="18" customHeight="1">
      <c r="B64" s="119"/>
      <c r="C64" s="16" t="s">
        <v>965</v>
      </c>
      <c r="D64" s="65">
        <v>9657</v>
      </c>
      <c r="E64" s="65">
        <v>12263484.261400001</v>
      </c>
      <c r="F64" s="65">
        <v>6159</v>
      </c>
      <c r="G64" s="65">
        <v>7047684.3087999998</v>
      </c>
      <c r="H64" s="65">
        <v>2104</v>
      </c>
      <c r="I64" s="65">
        <v>2532680.1096000001</v>
      </c>
      <c r="J64" s="65">
        <v>376</v>
      </c>
      <c r="K64" s="65">
        <v>543112.14199999999</v>
      </c>
      <c r="L64" s="65">
        <v>541</v>
      </c>
      <c r="M64" s="65">
        <v>1673873.0737999999</v>
      </c>
      <c r="N64" s="65">
        <v>477</v>
      </c>
      <c r="O64" s="65">
        <v>466134.62719999999</v>
      </c>
    </row>
    <row r="65" spans="2:15" s="18" customFormat="1" ht="18" customHeight="1">
      <c r="B65" s="119"/>
      <c r="C65" s="16" t="s">
        <v>966</v>
      </c>
      <c r="D65" s="65">
        <v>8038</v>
      </c>
      <c r="E65" s="65">
        <v>13208819.4493</v>
      </c>
      <c r="F65" s="65">
        <v>3769</v>
      </c>
      <c r="G65" s="65">
        <v>6811767.7561999997</v>
      </c>
      <c r="H65" s="65">
        <v>2458</v>
      </c>
      <c r="I65" s="65">
        <v>2835138.2447000002</v>
      </c>
      <c r="J65" s="65">
        <v>507</v>
      </c>
      <c r="K65" s="65">
        <v>1078353.236</v>
      </c>
      <c r="L65" s="65">
        <v>700</v>
      </c>
      <c r="M65" s="65">
        <v>1976775.6229999999</v>
      </c>
      <c r="N65" s="65">
        <v>604</v>
      </c>
      <c r="O65" s="65">
        <v>506784.5894</v>
      </c>
    </row>
    <row r="66" spans="2:15" s="18" customFormat="1" ht="18" customHeight="1">
      <c r="B66" s="119"/>
      <c r="C66" s="16" t="s">
        <v>967</v>
      </c>
      <c r="D66" s="65">
        <v>12776</v>
      </c>
      <c r="E66" s="65">
        <v>15056387.386</v>
      </c>
      <c r="F66" s="65">
        <v>7563</v>
      </c>
      <c r="G66" s="65">
        <v>7023959.8360000001</v>
      </c>
      <c r="H66" s="65">
        <v>3424</v>
      </c>
      <c r="I66" s="65">
        <v>4528680.5678000003</v>
      </c>
      <c r="J66" s="65">
        <v>353</v>
      </c>
      <c r="K66" s="65">
        <v>610718.08799999999</v>
      </c>
      <c r="L66" s="65">
        <v>753</v>
      </c>
      <c r="M66" s="65">
        <v>2254360.0326999999</v>
      </c>
      <c r="N66" s="65">
        <v>683</v>
      </c>
      <c r="O66" s="65">
        <v>638668.8615</v>
      </c>
    </row>
    <row r="67" spans="2:15" s="18" customFormat="1" ht="18" customHeight="1">
      <c r="B67" s="119"/>
      <c r="C67" s="16" t="s">
        <v>968</v>
      </c>
      <c r="D67" s="65">
        <v>10779</v>
      </c>
      <c r="E67" s="65">
        <v>17424755.9377</v>
      </c>
      <c r="F67" s="65">
        <v>6429</v>
      </c>
      <c r="G67" s="65">
        <v>7176933.8250000002</v>
      </c>
      <c r="H67" s="65">
        <v>2465</v>
      </c>
      <c r="I67" s="65">
        <v>3376320.6126000001</v>
      </c>
      <c r="J67" s="65">
        <v>295</v>
      </c>
      <c r="K67" s="65">
        <v>1012299.855</v>
      </c>
      <c r="L67" s="65">
        <v>617</v>
      </c>
      <c r="M67" s="65">
        <v>2094192.885</v>
      </c>
      <c r="N67" s="65">
        <v>973</v>
      </c>
      <c r="O67" s="65">
        <v>3765008.7601000001</v>
      </c>
    </row>
    <row r="68" spans="2:15" s="18" customFormat="1" ht="18" customHeight="1">
      <c r="B68" s="119"/>
      <c r="C68" s="16" t="s">
        <v>969</v>
      </c>
      <c r="D68" s="65">
        <v>15774</v>
      </c>
      <c r="E68" s="65">
        <v>24654160.028250001</v>
      </c>
      <c r="F68" s="65">
        <v>9724</v>
      </c>
      <c r="G68" s="65">
        <v>12630264.175799999</v>
      </c>
      <c r="H68" s="65">
        <v>4385</v>
      </c>
      <c r="I68" s="65">
        <v>3746757.0545000001</v>
      </c>
      <c r="J68" s="65">
        <v>261</v>
      </c>
      <c r="K68" s="65">
        <v>561066.76</v>
      </c>
      <c r="L68" s="65">
        <v>590</v>
      </c>
      <c r="M68" s="65">
        <v>1677591.05085</v>
      </c>
      <c r="N68" s="65">
        <v>814</v>
      </c>
      <c r="O68" s="65">
        <v>6038480.9870999996</v>
      </c>
    </row>
    <row r="69" spans="2:15" s="18" customFormat="1" ht="18" customHeight="1">
      <c r="B69" s="119"/>
      <c r="C69" s="16" t="s">
        <v>970</v>
      </c>
      <c r="D69" s="65">
        <v>56621</v>
      </c>
      <c r="E69" s="65">
        <v>13154539.457999999</v>
      </c>
      <c r="F69" s="65">
        <v>46353</v>
      </c>
      <c r="G69" s="65">
        <v>7568131.1376</v>
      </c>
      <c r="H69" s="65">
        <v>8241</v>
      </c>
      <c r="I69" s="65">
        <v>3127593.4339000001</v>
      </c>
      <c r="J69" s="65">
        <v>492</v>
      </c>
      <c r="K69" s="65">
        <v>442811.24400000001</v>
      </c>
      <c r="L69" s="65">
        <v>688</v>
      </c>
      <c r="M69" s="65">
        <v>1494159.2703</v>
      </c>
      <c r="N69" s="65">
        <v>847</v>
      </c>
      <c r="O69" s="65">
        <v>521844.37219999998</v>
      </c>
    </row>
    <row r="70" spans="2:15" s="18" customFormat="1" ht="18" customHeight="1">
      <c r="B70" s="119"/>
      <c r="C70" s="16" t="s">
        <v>918</v>
      </c>
      <c r="D70" s="65">
        <v>2348</v>
      </c>
      <c r="E70" s="65">
        <v>2882993.7627999997</v>
      </c>
      <c r="F70" s="65">
        <v>1143</v>
      </c>
      <c r="G70" s="65">
        <v>396488.93079999997</v>
      </c>
      <c r="H70" s="65">
        <v>393</v>
      </c>
      <c r="I70" s="65">
        <v>214085.50099999999</v>
      </c>
      <c r="J70" s="65">
        <v>103</v>
      </c>
      <c r="K70" s="65">
        <v>223913.008</v>
      </c>
      <c r="L70" s="65">
        <v>456</v>
      </c>
      <c r="M70" s="65">
        <v>1692035.3810000001</v>
      </c>
      <c r="N70" s="65">
        <v>253</v>
      </c>
      <c r="O70" s="65">
        <v>356470.94199999998</v>
      </c>
    </row>
    <row r="71" spans="2:15" s="18" customFormat="1" ht="18" customHeight="1">
      <c r="B71" s="119" t="s">
        <v>977</v>
      </c>
      <c r="C71" s="14" t="s">
        <v>917</v>
      </c>
      <c r="D71" s="64">
        <v>137107</v>
      </c>
      <c r="E71" s="64">
        <v>94810829.082050011</v>
      </c>
      <c r="F71" s="64">
        <v>76205</v>
      </c>
      <c r="G71" s="64">
        <v>44358547.93119999</v>
      </c>
      <c r="H71" s="64">
        <v>31203</v>
      </c>
      <c r="I71" s="64">
        <v>18547142.784000002</v>
      </c>
      <c r="J71" s="64">
        <v>15113</v>
      </c>
      <c r="K71" s="64">
        <v>18653919.989399999</v>
      </c>
      <c r="L71" s="64">
        <v>4023</v>
      </c>
      <c r="M71" s="64">
        <v>7335576.7493999992</v>
      </c>
      <c r="N71" s="64">
        <v>10563</v>
      </c>
      <c r="O71" s="64">
        <v>5915641.6280500004</v>
      </c>
    </row>
    <row r="72" spans="2:15" s="18" customFormat="1" ht="18" customHeight="1">
      <c r="B72" s="119"/>
      <c r="C72" s="16" t="s">
        <v>964</v>
      </c>
      <c r="D72" s="65">
        <v>20773</v>
      </c>
      <c r="E72" s="65">
        <v>18573657.2654</v>
      </c>
      <c r="F72" s="65">
        <v>8499</v>
      </c>
      <c r="G72" s="65">
        <v>8203416.3592999997</v>
      </c>
      <c r="H72" s="65">
        <v>6414</v>
      </c>
      <c r="I72" s="65">
        <v>4630630.5982999997</v>
      </c>
      <c r="J72" s="65">
        <v>3325</v>
      </c>
      <c r="K72" s="65">
        <v>3271129.5060999999</v>
      </c>
      <c r="L72" s="65">
        <v>663</v>
      </c>
      <c r="M72" s="65">
        <v>1461990.4025000001</v>
      </c>
      <c r="N72" s="65">
        <v>1872</v>
      </c>
      <c r="O72" s="65">
        <v>1006490.3992</v>
      </c>
    </row>
    <row r="73" spans="2:15" s="18" customFormat="1" ht="18" customHeight="1">
      <c r="B73" s="119"/>
      <c r="C73" s="16" t="s">
        <v>965</v>
      </c>
      <c r="D73" s="65">
        <v>15058</v>
      </c>
      <c r="E73" s="65">
        <v>13197473.976699999</v>
      </c>
      <c r="F73" s="65">
        <v>7745</v>
      </c>
      <c r="G73" s="65">
        <v>6795540.6103999997</v>
      </c>
      <c r="H73" s="65">
        <v>3359</v>
      </c>
      <c r="I73" s="65">
        <v>1992231.0526999999</v>
      </c>
      <c r="J73" s="65">
        <v>2417</v>
      </c>
      <c r="K73" s="65">
        <v>2646790.6825999999</v>
      </c>
      <c r="L73" s="65">
        <v>414</v>
      </c>
      <c r="M73" s="65">
        <v>1045086.9073</v>
      </c>
      <c r="N73" s="65">
        <v>1123</v>
      </c>
      <c r="O73" s="65">
        <v>717824.72369999997</v>
      </c>
    </row>
    <row r="74" spans="2:15" s="18" customFormat="1" ht="18" customHeight="1">
      <c r="B74" s="119"/>
      <c r="C74" s="16" t="s">
        <v>966</v>
      </c>
      <c r="D74" s="65">
        <v>13107</v>
      </c>
      <c r="E74" s="65">
        <v>12445897.134499999</v>
      </c>
      <c r="F74" s="65">
        <v>5418</v>
      </c>
      <c r="G74" s="65">
        <v>6037403.6886999998</v>
      </c>
      <c r="H74" s="65">
        <v>3591</v>
      </c>
      <c r="I74" s="65">
        <v>2214287.0792999999</v>
      </c>
      <c r="J74" s="65">
        <v>2012</v>
      </c>
      <c r="K74" s="65">
        <v>2483743.0581999999</v>
      </c>
      <c r="L74" s="65">
        <v>703</v>
      </c>
      <c r="M74" s="65">
        <v>1119966.9687999999</v>
      </c>
      <c r="N74" s="65">
        <v>1383</v>
      </c>
      <c r="O74" s="65">
        <v>590496.3395</v>
      </c>
    </row>
    <row r="75" spans="2:15" s="18" customFormat="1" ht="18" customHeight="1">
      <c r="B75" s="119"/>
      <c r="C75" s="16" t="s">
        <v>967</v>
      </c>
      <c r="D75" s="65">
        <v>13740</v>
      </c>
      <c r="E75" s="65">
        <v>11061223.007850001</v>
      </c>
      <c r="F75" s="65">
        <v>5934</v>
      </c>
      <c r="G75" s="65">
        <v>5038805.9977000002</v>
      </c>
      <c r="H75" s="65">
        <v>4389</v>
      </c>
      <c r="I75" s="65">
        <v>2861969.2359000002</v>
      </c>
      <c r="J75" s="65">
        <v>1584</v>
      </c>
      <c r="K75" s="65">
        <v>1375257.9317000001</v>
      </c>
      <c r="L75" s="65">
        <v>651</v>
      </c>
      <c r="M75" s="65">
        <v>1282338.1706999999</v>
      </c>
      <c r="N75" s="65">
        <v>1182</v>
      </c>
      <c r="O75" s="65">
        <v>502851.67184999998</v>
      </c>
    </row>
    <row r="76" spans="2:15" s="18" customFormat="1" ht="18" customHeight="1">
      <c r="B76" s="119"/>
      <c r="C76" s="16" t="s">
        <v>968</v>
      </c>
      <c r="D76" s="65">
        <v>16190</v>
      </c>
      <c r="E76" s="65">
        <v>13042260.7808</v>
      </c>
      <c r="F76" s="65">
        <v>7583</v>
      </c>
      <c r="G76" s="65">
        <v>6152837.3661000002</v>
      </c>
      <c r="H76" s="65">
        <v>4136</v>
      </c>
      <c r="I76" s="65">
        <v>2456007.2178000002</v>
      </c>
      <c r="J76" s="65">
        <v>2051</v>
      </c>
      <c r="K76" s="65">
        <v>2199286.9191000001</v>
      </c>
      <c r="L76" s="65">
        <v>505</v>
      </c>
      <c r="M76" s="65">
        <v>726627.38190000004</v>
      </c>
      <c r="N76" s="65">
        <v>1915</v>
      </c>
      <c r="O76" s="65">
        <v>1507501.8958999999</v>
      </c>
    </row>
    <row r="77" spans="2:15" s="18" customFormat="1" ht="18" customHeight="1">
      <c r="B77" s="119"/>
      <c r="C77" s="16" t="s">
        <v>969</v>
      </c>
      <c r="D77" s="65">
        <v>16881</v>
      </c>
      <c r="E77" s="65">
        <v>13711773.65625</v>
      </c>
      <c r="F77" s="65">
        <v>9564</v>
      </c>
      <c r="G77" s="65">
        <v>7349004.23135</v>
      </c>
      <c r="H77" s="65">
        <v>3898</v>
      </c>
      <c r="I77" s="65">
        <v>2291849.1222000001</v>
      </c>
      <c r="J77" s="65">
        <v>1764</v>
      </c>
      <c r="K77" s="65">
        <v>2487866.7993999999</v>
      </c>
      <c r="L77" s="65">
        <v>368</v>
      </c>
      <c r="M77" s="65">
        <v>615802.92460000003</v>
      </c>
      <c r="N77" s="65">
        <v>1287</v>
      </c>
      <c r="O77" s="65">
        <v>967250.57869999995</v>
      </c>
    </row>
    <row r="78" spans="2:15" s="18" customFormat="1" ht="18" customHeight="1">
      <c r="B78" s="119"/>
      <c r="C78" s="16" t="s">
        <v>970</v>
      </c>
      <c r="D78" s="65">
        <v>34901</v>
      </c>
      <c r="E78" s="65">
        <v>11571790.984049998</v>
      </c>
      <c r="F78" s="65">
        <v>26491</v>
      </c>
      <c r="G78" s="65">
        <v>4411079.5791499997</v>
      </c>
      <c r="H78" s="65">
        <v>4976</v>
      </c>
      <c r="I78" s="65">
        <v>2036506.3372</v>
      </c>
      <c r="J78" s="65">
        <v>1882</v>
      </c>
      <c r="K78" s="65">
        <v>4029275.7275</v>
      </c>
      <c r="L78" s="65">
        <v>409</v>
      </c>
      <c r="M78" s="65">
        <v>600478.81599999999</v>
      </c>
      <c r="N78" s="65">
        <v>1143</v>
      </c>
      <c r="O78" s="65">
        <v>494450.52419999999</v>
      </c>
    </row>
    <row r="79" spans="2:15" s="18" customFormat="1" ht="18" customHeight="1">
      <c r="B79" s="119"/>
      <c r="C79" s="16" t="s">
        <v>918</v>
      </c>
      <c r="D79" s="65">
        <v>6457</v>
      </c>
      <c r="E79" s="65">
        <v>1206752.2765000002</v>
      </c>
      <c r="F79" s="65">
        <v>4971</v>
      </c>
      <c r="G79" s="65">
        <v>370460.09850000002</v>
      </c>
      <c r="H79" s="65">
        <v>440</v>
      </c>
      <c r="I79" s="65">
        <v>63662.140599999999</v>
      </c>
      <c r="J79" s="65">
        <v>78</v>
      </c>
      <c r="K79" s="65">
        <v>160569.36480000001</v>
      </c>
      <c r="L79" s="65">
        <v>310</v>
      </c>
      <c r="M79" s="65">
        <v>483285.1776</v>
      </c>
      <c r="N79" s="65">
        <v>658</v>
      </c>
      <c r="O79" s="65">
        <v>128775.495</v>
      </c>
    </row>
    <row r="80" spans="2:15" s="18" customFormat="1" ht="18" customHeight="1">
      <c r="B80" s="119" t="s">
        <v>928</v>
      </c>
      <c r="C80" s="14" t="s">
        <v>917</v>
      </c>
      <c r="D80" s="64">
        <v>35383</v>
      </c>
      <c r="E80" s="64">
        <v>31939699.539299998</v>
      </c>
      <c r="F80" s="64">
        <v>19428</v>
      </c>
      <c r="G80" s="64">
        <v>16035867.659299998</v>
      </c>
      <c r="H80" s="64">
        <v>6833</v>
      </c>
      <c r="I80" s="64">
        <v>5875166.5995999994</v>
      </c>
      <c r="J80" s="64">
        <v>2064</v>
      </c>
      <c r="K80" s="64">
        <v>2982271.5109000001</v>
      </c>
      <c r="L80" s="64">
        <v>1040</v>
      </c>
      <c r="M80" s="64">
        <v>3300221.2881999994</v>
      </c>
      <c r="N80" s="64">
        <v>6018</v>
      </c>
      <c r="O80" s="64">
        <v>3746172.4813000006</v>
      </c>
    </row>
    <row r="81" spans="2:15" s="18" customFormat="1" ht="18" customHeight="1">
      <c r="B81" s="119"/>
      <c r="C81" s="16" t="s">
        <v>964</v>
      </c>
      <c r="D81" s="65">
        <v>8754</v>
      </c>
      <c r="E81" s="65">
        <v>17941618.784299999</v>
      </c>
      <c r="F81" s="65">
        <v>4122</v>
      </c>
      <c r="G81" s="65">
        <v>9961185.5584999993</v>
      </c>
      <c r="H81" s="65">
        <v>2571</v>
      </c>
      <c r="I81" s="65">
        <v>4109596.4053000002</v>
      </c>
      <c r="J81" s="65">
        <v>456</v>
      </c>
      <c r="K81" s="65">
        <v>839006.45860000001</v>
      </c>
      <c r="L81" s="65">
        <v>334</v>
      </c>
      <c r="M81" s="65">
        <v>1905996.6924999999</v>
      </c>
      <c r="N81" s="65">
        <v>1271</v>
      </c>
      <c r="O81" s="65">
        <v>1125833.6694</v>
      </c>
    </row>
    <row r="82" spans="2:15" s="18" customFormat="1" ht="18" customHeight="1">
      <c r="B82" s="119"/>
      <c r="C82" s="16" t="s">
        <v>965</v>
      </c>
      <c r="D82" s="65">
        <v>4344</v>
      </c>
      <c r="E82" s="65">
        <v>6450818.1298999991</v>
      </c>
      <c r="F82" s="65">
        <v>1990</v>
      </c>
      <c r="G82" s="65">
        <v>3394075.5583000001</v>
      </c>
      <c r="H82" s="65">
        <v>957</v>
      </c>
      <c r="I82" s="65">
        <v>844230.07669999998</v>
      </c>
      <c r="J82" s="65">
        <v>369</v>
      </c>
      <c r="K82" s="65">
        <v>455182.61900000001</v>
      </c>
      <c r="L82" s="65">
        <v>150</v>
      </c>
      <c r="M82" s="65">
        <v>666542.13390000002</v>
      </c>
      <c r="N82" s="65">
        <v>878</v>
      </c>
      <c r="O82" s="65">
        <v>1090787.7420000001</v>
      </c>
    </row>
    <row r="83" spans="2:15" s="18" customFormat="1" ht="18" customHeight="1">
      <c r="B83" s="119"/>
      <c r="C83" s="16" t="s">
        <v>966</v>
      </c>
      <c r="D83" s="65">
        <v>2554</v>
      </c>
      <c r="E83" s="65">
        <v>1375417.5130999999</v>
      </c>
      <c r="F83" s="65">
        <v>855</v>
      </c>
      <c r="G83" s="65">
        <v>669844.33880000003</v>
      </c>
      <c r="H83" s="65">
        <v>556</v>
      </c>
      <c r="I83" s="65">
        <v>183999.49290000001</v>
      </c>
      <c r="J83" s="65">
        <v>217</v>
      </c>
      <c r="K83" s="65">
        <v>132530.76500000001</v>
      </c>
      <c r="L83" s="65">
        <v>117</v>
      </c>
      <c r="M83" s="65">
        <v>127864.9158</v>
      </c>
      <c r="N83" s="65">
        <v>809</v>
      </c>
      <c r="O83" s="65">
        <v>261178.0006</v>
      </c>
    </row>
    <row r="84" spans="2:15" s="18" customFormat="1" ht="18" customHeight="1">
      <c r="B84" s="119"/>
      <c r="C84" s="16" t="s">
        <v>967</v>
      </c>
      <c r="D84" s="65">
        <v>2935</v>
      </c>
      <c r="E84" s="65">
        <v>1584415.0233</v>
      </c>
      <c r="F84" s="65">
        <v>1183</v>
      </c>
      <c r="G84" s="65">
        <v>446673.424</v>
      </c>
      <c r="H84" s="65">
        <v>563</v>
      </c>
      <c r="I84" s="65">
        <v>171201.27100000001</v>
      </c>
      <c r="J84" s="65">
        <v>278</v>
      </c>
      <c r="K84" s="65">
        <v>424019.54700000002</v>
      </c>
      <c r="L84" s="65">
        <v>95</v>
      </c>
      <c r="M84" s="65">
        <v>119160.325</v>
      </c>
      <c r="N84" s="65">
        <v>816</v>
      </c>
      <c r="O84" s="65">
        <v>423360.45630000002</v>
      </c>
    </row>
    <row r="85" spans="2:15" s="18" customFormat="1" ht="18" customHeight="1">
      <c r="B85" s="119"/>
      <c r="C85" s="16" t="s">
        <v>968</v>
      </c>
      <c r="D85" s="65">
        <v>3759</v>
      </c>
      <c r="E85" s="65">
        <v>1681743.1963999998</v>
      </c>
      <c r="F85" s="65">
        <v>1745</v>
      </c>
      <c r="G85" s="65">
        <v>537968.10470000003</v>
      </c>
      <c r="H85" s="65">
        <v>662</v>
      </c>
      <c r="I85" s="65">
        <v>209861.00769999999</v>
      </c>
      <c r="J85" s="65">
        <v>280</v>
      </c>
      <c r="K85" s="65">
        <v>484136.11599999998</v>
      </c>
      <c r="L85" s="65">
        <v>95</v>
      </c>
      <c r="M85" s="65">
        <v>116597.713</v>
      </c>
      <c r="N85" s="65">
        <v>977</v>
      </c>
      <c r="O85" s="65">
        <v>333180.255</v>
      </c>
    </row>
    <row r="86" spans="2:15" s="18" customFormat="1" ht="18" customHeight="1">
      <c r="B86" s="119"/>
      <c r="C86" s="16" t="s">
        <v>969</v>
      </c>
      <c r="D86" s="65">
        <v>2486</v>
      </c>
      <c r="E86" s="65">
        <v>1057108.4953999999</v>
      </c>
      <c r="F86" s="65">
        <v>1282</v>
      </c>
      <c r="G86" s="65">
        <v>324656.91899999999</v>
      </c>
      <c r="H86" s="65">
        <v>406</v>
      </c>
      <c r="I86" s="65">
        <v>130628.378</v>
      </c>
      <c r="J86" s="65">
        <v>178</v>
      </c>
      <c r="K86" s="65">
        <v>204201.95139999999</v>
      </c>
      <c r="L86" s="65">
        <v>103</v>
      </c>
      <c r="M86" s="65">
        <v>148382.23199999999</v>
      </c>
      <c r="N86" s="65">
        <v>517</v>
      </c>
      <c r="O86" s="65">
        <v>249239.01500000001</v>
      </c>
    </row>
    <row r="87" spans="2:15" s="18" customFormat="1" ht="18" customHeight="1">
      <c r="B87" s="119"/>
      <c r="C87" s="16" t="s">
        <v>970</v>
      </c>
      <c r="D87" s="65">
        <v>9537</v>
      </c>
      <c r="E87" s="65">
        <v>1528980.1708999998</v>
      </c>
      <c r="F87" s="65">
        <v>7653</v>
      </c>
      <c r="G87" s="65">
        <v>648174.83600000001</v>
      </c>
      <c r="H87" s="65">
        <v>1000</v>
      </c>
      <c r="I87" s="65">
        <v>200379.34299999999</v>
      </c>
      <c r="J87" s="65">
        <v>224</v>
      </c>
      <c r="K87" s="65">
        <v>362086.87890000001</v>
      </c>
      <c r="L87" s="65">
        <v>89</v>
      </c>
      <c r="M87" s="65">
        <v>98525.26</v>
      </c>
      <c r="N87" s="65">
        <v>571</v>
      </c>
      <c r="O87" s="65">
        <v>219813.853</v>
      </c>
    </row>
    <row r="88" spans="2:15" s="18" customFormat="1" ht="18" customHeight="1">
      <c r="B88" s="119"/>
      <c r="C88" s="16" t="s">
        <v>918</v>
      </c>
      <c r="D88" s="65">
        <v>1014</v>
      </c>
      <c r="E88" s="65">
        <v>319598.22600000002</v>
      </c>
      <c r="F88" s="65">
        <v>598</v>
      </c>
      <c r="G88" s="65">
        <v>53288.92</v>
      </c>
      <c r="H88" s="65">
        <v>118</v>
      </c>
      <c r="I88" s="65">
        <v>25270.625</v>
      </c>
      <c r="J88" s="65">
        <v>62</v>
      </c>
      <c r="K88" s="65">
        <v>81107.175000000003</v>
      </c>
      <c r="L88" s="65">
        <v>57</v>
      </c>
      <c r="M88" s="65">
        <v>117152.016</v>
      </c>
      <c r="N88" s="65">
        <v>179</v>
      </c>
      <c r="O88" s="65">
        <v>42779.49</v>
      </c>
    </row>
    <row r="89" spans="2:15" s="18" customFormat="1" ht="18" customHeight="1">
      <c r="B89" s="119" t="s">
        <v>978</v>
      </c>
      <c r="C89" s="14" t="s">
        <v>917</v>
      </c>
      <c r="D89" s="64">
        <v>1265969</v>
      </c>
      <c r="E89" s="64">
        <v>1108557371.982904</v>
      </c>
      <c r="F89" s="64">
        <v>659642</v>
      </c>
      <c r="G89" s="64">
        <v>502659091.66213405</v>
      </c>
      <c r="H89" s="64">
        <v>296848</v>
      </c>
      <c r="I89" s="64">
        <v>228778384.68091506</v>
      </c>
      <c r="J89" s="64">
        <v>114900</v>
      </c>
      <c r="K89" s="64">
        <v>135919842.8127</v>
      </c>
      <c r="L89" s="64">
        <v>37213</v>
      </c>
      <c r="M89" s="64">
        <v>84771583.493025005</v>
      </c>
      <c r="N89" s="64">
        <v>157366</v>
      </c>
      <c r="O89" s="64">
        <v>156428469.33412999</v>
      </c>
    </row>
    <row r="90" spans="2:15" s="18" customFormat="1" ht="18" customHeight="1">
      <c r="B90" s="119"/>
      <c r="C90" s="16" t="s">
        <v>964</v>
      </c>
      <c r="D90" s="65">
        <v>305415</v>
      </c>
      <c r="E90" s="65">
        <v>324623150.00125009</v>
      </c>
      <c r="F90" s="65">
        <v>132163</v>
      </c>
      <c r="G90" s="65">
        <v>141191995.52829999</v>
      </c>
      <c r="H90" s="65">
        <v>92817</v>
      </c>
      <c r="I90" s="65">
        <v>84601028.726150095</v>
      </c>
      <c r="J90" s="65">
        <v>31877</v>
      </c>
      <c r="K90" s="65">
        <v>46305444.668099999</v>
      </c>
      <c r="L90" s="65">
        <v>6296</v>
      </c>
      <c r="M90" s="65">
        <v>16712040.1819</v>
      </c>
      <c r="N90" s="65">
        <v>42262</v>
      </c>
      <c r="O90" s="65">
        <v>35812640.896799996</v>
      </c>
    </row>
    <row r="91" spans="2:15" s="18" customFormat="1" ht="18" customHeight="1">
      <c r="B91" s="119"/>
      <c r="C91" s="16" t="s">
        <v>965</v>
      </c>
      <c r="D91" s="65">
        <v>135444</v>
      </c>
      <c r="E91" s="65">
        <v>126316560.10069999</v>
      </c>
      <c r="F91" s="65">
        <v>60485</v>
      </c>
      <c r="G91" s="65">
        <v>56629022.123099998</v>
      </c>
      <c r="H91" s="65">
        <v>36528</v>
      </c>
      <c r="I91" s="65">
        <v>24982900.492600001</v>
      </c>
      <c r="J91" s="65">
        <v>16816</v>
      </c>
      <c r="K91" s="65">
        <v>20147816.5233</v>
      </c>
      <c r="L91" s="65">
        <v>4695</v>
      </c>
      <c r="M91" s="65">
        <v>12282267.831</v>
      </c>
      <c r="N91" s="65">
        <v>16920</v>
      </c>
      <c r="O91" s="65">
        <v>12274553.1307</v>
      </c>
    </row>
    <row r="92" spans="2:15" s="18" customFormat="1" ht="18" customHeight="1">
      <c r="B92" s="119"/>
      <c r="C92" s="16" t="s">
        <v>966</v>
      </c>
      <c r="D92" s="65">
        <v>132649</v>
      </c>
      <c r="E92" s="65">
        <v>133755256.79512501</v>
      </c>
      <c r="F92" s="65">
        <v>48752</v>
      </c>
      <c r="G92" s="65">
        <v>61873318.615549996</v>
      </c>
      <c r="H92" s="65">
        <v>39994</v>
      </c>
      <c r="I92" s="65">
        <v>28056363.085949998</v>
      </c>
      <c r="J92" s="65">
        <v>20030</v>
      </c>
      <c r="K92" s="65">
        <v>19245383.075300001</v>
      </c>
      <c r="L92" s="65">
        <v>6176</v>
      </c>
      <c r="M92" s="65">
        <v>14609719.208924999</v>
      </c>
      <c r="N92" s="65">
        <v>17697</v>
      </c>
      <c r="O92" s="65">
        <v>9970472.8093999997</v>
      </c>
    </row>
    <row r="93" spans="2:15" s="18" customFormat="1" ht="18" customHeight="1">
      <c r="B93" s="119"/>
      <c r="C93" s="16" t="s">
        <v>967</v>
      </c>
      <c r="D93" s="65">
        <v>150800</v>
      </c>
      <c r="E93" s="65">
        <v>161065771.27910998</v>
      </c>
      <c r="F93" s="65">
        <v>66003</v>
      </c>
      <c r="G93" s="65">
        <v>81482072.705650002</v>
      </c>
      <c r="H93" s="65">
        <v>36185</v>
      </c>
      <c r="I93" s="65">
        <v>35358650.46091</v>
      </c>
      <c r="J93" s="65">
        <v>21267</v>
      </c>
      <c r="K93" s="65">
        <v>18615415.788400002</v>
      </c>
      <c r="L93" s="65">
        <v>5392</v>
      </c>
      <c r="M93" s="65">
        <v>13325612.9691</v>
      </c>
      <c r="N93" s="65">
        <v>21953</v>
      </c>
      <c r="O93" s="65">
        <v>12284019.355049999</v>
      </c>
    </row>
    <row r="94" spans="2:15" s="18" customFormat="1" ht="18" customHeight="1">
      <c r="B94" s="119"/>
      <c r="C94" s="16" t="s">
        <v>968</v>
      </c>
      <c r="D94" s="65">
        <v>137276</v>
      </c>
      <c r="E94" s="65">
        <v>158975774.09167999</v>
      </c>
      <c r="F94" s="65">
        <v>68983</v>
      </c>
      <c r="G94" s="65">
        <v>66988490.811899997</v>
      </c>
      <c r="H94" s="65">
        <v>29171</v>
      </c>
      <c r="I94" s="65">
        <v>23732591.152600002</v>
      </c>
      <c r="J94" s="65">
        <v>10440</v>
      </c>
      <c r="K94" s="65">
        <v>10709313.6613</v>
      </c>
      <c r="L94" s="65">
        <v>5535</v>
      </c>
      <c r="M94" s="65">
        <v>12683256.562200001</v>
      </c>
      <c r="N94" s="65">
        <v>23147</v>
      </c>
      <c r="O94" s="65">
        <v>44862121.903679997</v>
      </c>
    </row>
    <row r="95" spans="2:15" s="18" customFormat="1" ht="18" customHeight="1">
      <c r="B95" s="119"/>
      <c r="C95" s="16" t="s">
        <v>969</v>
      </c>
      <c r="D95" s="65">
        <v>114792</v>
      </c>
      <c r="E95" s="65">
        <v>124733278.38000001</v>
      </c>
      <c r="F95" s="65">
        <v>70468</v>
      </c>
      <c r="G95" s="65">
        <v>62164009.336300001</v>
      </c>
      <c r="H95" s="65">
        <v>21437</v>
      </c>
      <c r="I95" s="65">
        <v>16908457.429299999</v>
      </c>
      <c r="J95" s="65">
        <v>6066</v>
      </c>
      <c r="K95" s="65">
        <v>7563428.4869999997</v>
      </c>
      <c r="L95" s="65">
        <v>2668</v>
      </c>
      <c r="M95" s="65">
        <v>4824763.4089000002</v>
      </c>
      <c r="N95" s="65">
        <v>14153</v>
      </c>
      <c r="O95" s="65">
        <v>33272619.718499999</v>
      </c>
    </row>
    <row r="96" spans="2:15" s="18" customFormat="1" ht="18" customHeight="1">
      <c r="B96" s="119"/>
      <c r="C96" s="16" t="s">
        <v>970</v>
      </c>
      <c r="D96" s="65">
        <v>202207</v>
      </c>
      <c r="E96" s="65">
        <v>62267654.576774001</v>
      </c>
      <c r="F96" s="65">
        <v>148766</v>
      </c>
      <c r="G96" s="65">
        <v>27027340.479173999</v>
      </c>
      <c r="H96" s="65">
        <v>31279</v>
      </c>
      <c r="I96" s="65">
        <v>13289664.191199999</v>
      </c>
      <c r="J96" s="65">
        <v>6424</v>
      </c>
      <c r="K96" s="65">
        <v>11471980.794299999</v>
      </c>
      <c r="L96" s="65">
        <v>3630</v>
      </c>
      <c r="M96" s="65">
        <v>5617294.3355</v>
      </c>
      <c r="N96" s="65">
        <v>12108</v>
      </c>
      <c r="O96" s="65">
        <v>4861374.7766000004</v>
      </c>
    </row>
    <row r="97" spans="2:15" s="18" customFormat="1" ht="18" customHeight="1">
      <c r="B97" s="119"/>
      <c r="C97" s="16" t="s">
        <v>918</v>
      </c>
      <c r="D97" s="65">
        <v>87386</v>
      </c>
      <c r="E97" s="65">
        <v>16819926.758265</v>
      </c>
      <c r="F97" s="65">
        <v>64022</v>
      </c>
      <c r="G97" s="65">
        <v>5302842.0621600002</v>
      </c>
      <c r="H97" s="65">
        <v>9437</v>
      </c>
      <c r="I97" s="65">
        <v>1848729.1422049999</v>
      </c>
      <c r="J97" s="65">
        <v>1980</v>
      </c>
      <c r="K97" s="65">
        <v>1861059.8149999999</v>
      </c>
      <c r="L97" s="65">
        <v>2821</v>
      </c>
      <c r="M97" s="65">
        <v>4716628.9955000002</v>
      </c>
      <c r="N97" s="65">
        <v>9126</v>
      </c>
      <c r="O97" s="65">
        <v>3090666.7434</v>
      </c>
    </row>
    <row r="98" spans="2:15" s="18" customFormat="1" ht="18" customHeight="1">
      <c r="B98" s="119" t="s">
        <v>1458</v>
      </c>
      <c r="C98" s="14" t="s">
        <v>917</v>
      </c>
      <c r="D98" s="64">
        <v>437539</v>
      </c>
      <c r="E98" s="64">
        <v>145835370.968963</v>
      </c>
      <c r="F98" s="64">
        <v>278327</v>
      </c>
      <c r="G98" s="64">
        <v>64847505.977762997</v>
      </c>
      <c r="H98" s="64">
        <v>79287</v>
      </c>
      <c r="I98" s="64">
        <v>33239229.215050001</v>
      </c>
      <c r="J98" s="64">
        <v>7559</v>
      </c>
      <c r="K98" s="64">
        <v>7464148.8366999989</v>
      </c>
      <c r="L98" s="64">
        <v>14249</v>
      </c>
      <c r="M98" s="64">
        <v>17151380.07375</v>
      </c>
      <c r="N98" s="64">
        <v>58117</v>
      </c>
      <c r="O98" s="64">
        <v>23133106.865699999</v>
      </c>
    </row>
    <row r="99" spans="2:15" s="18" customFormat="1" ht="18" customHeight="1">
      <c r="B99" s="119"/>
      <c r="C99" s="16" t="s">
        <v>964</v>
      </c>
      <c r="D99" s="65">
        <v>79937</v>
      </c>
      <c r="E99" s="65">
        <v>34974589.200100005</v>
      </c>
      <c r="F99" s="65">
        <v>40343</v>
      </c>
      <c r="G99" s="65">
        <v>15762412.878900001</v>
      </c>
      <c r="H99" s="65">
        <v>18099</v>
      </c>
      <c r="I99" s="65">
        <v>8402218.5592</v>
      </c>
      <c r="J99" s="65">
        <v>1740</v>
      </c>
      <c r="K99" s="65">
        <v>1831518.2172999999</v>
      </c>
      <c r="L99" s="65">
        <v>2473</v>
      </c>
      <c r="M99" s="65">
        <v>2397682.1052999999</v>
      </c>
      <c r="N99" s="65">
        <v>17282</v>
      </c>
      <c r="O99" s="65">
        <v>6580757.4393999996</v>
      </c>
    </row>
    <row r="100" spans="2:15" s="18" customFormat="1" ht="18" customHeight="1">
      <c r="B100" s="119"/>
      <c r="C100" s="16" t="s">
        <v>965</v>
      </c>
      <c r="D100" s="65">
        <v>36295</v>
      </c>
      <c r="E100" s="65">
        <v>14369877.9377</v>
      </c>
      <c r="F100" s="65">
        <v>19130</v>
      </c>
      <c r="G100" s="65">
        <v>5327078.4003999997</v>
      </c>
      <c r="H100" s="65">
        <v>7206</v>
      </c>
      <c r="I100" s="65">
        <v>2927296.4169000001</v>
      </c>
      <c r="J100" s="65">
        <v>956</v>
      </c>
      <c r="K100" s="65">
        <v>914099.0466</v>
      </c>
      <c r="L100" s="65">
        <v>1779</v>
      </c>
      <c r="M100" s="65">
        <v>1870980.639</v>
      </c>
      <c r="N100" s="65">
        <v>7224</v>
      </c>
      <c r="O100" s="65">
        <v>3330423.4347999999</v>
      </c>
    </row>
    <row r="101" spans="2:15" s="18" customFormat="1" ht="18" customHeight="1">
      <c r="B101" s="119"/>
      <c r="C101" s="16" t="s">
        <v>966</v>
      </c>
      <c r="D101" s="65">
        <v>35561</v>
      </c>
      <c r="E101" s="65">
        <v>20064899.613399997</v>
      </c>
      <c r="F101" s="65">
        <v>17587</v>
      </c>
      <c r="G101" s="65">
        <v>8650697.1084000003</v>
      </c>
      <c r="H101" s="65">
        <v>7729</v>
      </c>
      <c r="I101" s="65">
        <v>3939597.1669000001</v>
      </c>
      <c r="J101" s="65">
        <v>888</v>
      </c>
      <c r="K101" s="65">
        <v>836237.63699999999</v>
      </c>
      <c r="L101" s="65">
        <v>2057</v>
      </c>
      <c r="M101" s="65">
        <v>3824811.7355</v>
      </c>
      <c r="N101" s="65">
        <v>7300</v>
      </c>
      <c r="O101" s="65">
        <v>2813555.9656000002</v>
      </c>
    </row>
    <row r="102" spans="2:15" s="18" customFormat="1" ht="18" customHeight="1">
      <c r="B102" s="119"/>
      <c r="C102" s="16" t="s">
        <v>967</v>
      </c>
      <c r="D102" s="65">
        <v>35944</v>
      </c>
      <c r="E102" s="65">
        <v>15694241.625800002</v>
      </c>
      <c r="F102" s="65">
        <v>20046</v>
      </c>
      <c r="G102" s="65">
        <v>7061435.5661000004</v>
      </c>
      <c r="H102" s="65">
        <v>7999</v>
      </c>
      <c r="I102" s="65">
        <v>4096089.0568499998</v>
      </c>
      <c r="J102" s="65">
        <v>711</v>
      </c>
      <c r="K102" s="65">
        <v>622464.30449999997</v>
      </c>
      <c r="L102" s="65">
        <v>1692</v>
      </c>
      <c r="M102" s="65">
        <v>1814227.4522500001</v>
      </c>
      <c r="N102" s="65">
        <v>5496</v>
      </c>
      <c r="O102" s="65">
        <v>2100025.2461000001</v>
      </c>
    </row>
    <row r="103" spans="2:15" s="18" customFormat="1" ht="18" customHeight="1">
      <c r="B103" s="119"/>
      <c r="C103" s="16" t="s">
        <v>968</v>
      </c>
      <c r="D103" s="65">
        <v>43720</v>
      </c>
      <c r="E103" s="65">
        <v>20925330.193599999</v>
      </c>
      <c r="F103" s="65">
        <v>23650</v>
      </c>
      <c r="G103" s="65">
        <v>9121054.2949999999</v>
      </c>
      <c r="H103" s="65">
        <v>8835</v>
      </c>
      <c r="I103" s="65">
        <v>4585314.0648999996</v>
      </c>
      <c r="J103" s="65">
        <v>834</v>
      </c>
      <c r="K103" s="65">
        <v>851526.79299999995</v>
      </c>
      <c r="L103" s="65">
        <v>1693</v>
      </c>
      <c r="M103" s="65">
        <v>2015602.4239000001</v>
      </c>
      <c r="N103" s="65">
        <v>8708</v>
      </c>
      <c r="O103" s="65">
        <v>4351832.6168</v>
      </c>
    </row>
    <row r="104" spans="2:15" s="18" customFormat="1" ht="18" customHeight="1">
      <c r="B104" s="119"/>
      <c r="C104" s="16" t="s">
        <v>969</v>
      </c>
      <c r="D104" s="65">
        <v>31197</v>
      </c>
      <c r="E104" s="65">
        <v>16259266.739200002</v>
      </c>
      <c r="F104" s="65">
        <v>17718</v>
      </c>
      <c r="G104" s="65">
        <v>7428567.6376</v>
      </c>
      <c r="H104" s="65">
        <v>7059</v>
      </c>
      <c r="I104" s="65">
        <v>3641821.4594999999</v>
      </c>
      <c r="J104" s="65">
        <v>935</v>
      </c>
      <c r="K104" s="65">
        <v>1115965.389</v>
      </c>
      <c r="L104" s="65">
        <v>1060</v>
      </c>
      <c r="M104" s="65">
        <v>2142093.8136</v>
      </c>
      <c r="N104" s="65">
        <v>4425</v>
      </c>
      <c r="O104" s="65">
        <v>1930818.4395000001</v>
      </c>
    </row>
    <row r="105" spans="2:15" s="18" customFormat="1" ht="18" customHeight="1">
      <c r="B105" s="119"/>
      <c r="C105" s="16" t="s">
        <v>970</v>
      </c>
      <c r="D105" s="65">
        <v>95062</v>
      </c>
      <c r="E105" s="65">
        <v>16188697.898373</v>
      </c>
      <c r="F105" s="65">
        <v>72851</v>
      </c>
      <c r="G105" s="65">
        <v>7476562.1745729996</v>
      </c>
      <c r="H105" s="65">
        <v>15485</v>
      </c>
      <c r="I105" s="65">
        <v>4724384.142</v>
      </c>
      <c r="J105" s="65">
        <v>1012</v>
      </c>
      <c r="K105" s="65">
        <v>1071384.2627999999</v>
      </c>
      <c r="L105" s="65">
        <v>1745</v>
      </c>
      <c r="M105" s="65">
        <v>1715998.9489</v>
      </c>
      <c r="N105" s="65">
        <v>3969</v>
      </c>
      <c r="O105" s="65">
        <v>1200368.3700999999</v>
      </c>
    </row>
    <row r="106" spans="2:15" s="18" customFormat="1" ht="18" customHeight="1">
      <c r="B106" s="119"/>
      <c r="C106" s="16" t="s">
        <v>918</v>
      </c>
      <c r="D106" s="65">
        <v>79823</v>
      </c>
      <c r="E106" s="65">
        <v>7358467.7607900007</v>
      </c>
      <c r="F106" s="65">
        <v>67002</v>
      </c>
      <c r="G106" s="65">
        <v>4019697.9167900002</v>
      </c>
      <c r="H106" s="65">
        <v>6875</v>
      </c>
      <c r="I106" s="65">
        <v>922508.34880000004</v>
      </c>
      <c r="J106" s="65">
        <v>483</v>
      </c>
      <c r="K106" s="65">
        <v>220953.18650000001</v>
      </c>
      <c r="L106" s="65">
        <v>1750</v>
      </c>
      <c r="M106" s="65">
        <v>1369982.9553</v>
      </c>
      <c r="N106" s="65">
        <v>3713</v>
      </c>
      <c r="O106" s="65">
        <v>825325.35340000002</v>
      </c>
    </row>
    <row r="107" spans="2:15" s="18" customFormat="1" ht="18" customHeight="1">
      <c r="B107" s="119" t="s">
        <v>979</v>
      </c>
      <c r="C107" s="14" t="s">
        <v>917</v>
      </c>
      <c r="D107" s="64">
        <v>407286</v>
      </c>
      <c r="E107" s="64">
        <v>162002149.47754997</v>
      </c>
      <c r="F107" s="64">
        <v>247945</v>
      </c>
      <c r="G107" s="64">
        <v>68352952.735799998</v>
      </c>
      <c r="H107" s="64">
        <v>66614</v>
      </c>
      <c r="I107" s="64">
        <v>27674039.056599997</v>
      </c>
      <c r="J107" s="64">
        <v>22051</v>
      </c>
      <c r="K107" s="64">
        <v>29701760.717299998</v>
      </c>
      <c r="L107" s="64">
        <v>11143</v>
      </c>
      <c r="M107" s="64">
        <v>13844344.3846</v>
      </c>
      <c r="N107" s="64">
        <v>59533</v>
      </c>
      <c r="O107" s="64">
        <v>22429052.583249997</v>
      </c>
    </row>
    <row r="108" spans="2:15" s="18" customFormat="1" ht="18" customHeight="1">
      <c r="B108" s="119"/>
      <c r="C108" s="16" t="s">
        <v>964</v>
      </c>
      <c r="D108" s="65">
        <v>71890</v>
      </c>
      <c r="E108" s="65">
        <v>42309966.012699991</v>
      </c>
      <c r="F108" s="65">
        <v>32529</v>
      </c>
      <c r="G108" s="65">
        <v>16913804.612599999</v>
      </c>
      <c r="H108" s="65">
        <v>16109</v>
      </c>
      <c r="I108" s="65">
        <v>7315658.4559000004</v>
      </c>
      <c r="J108" s="65">
        <v>7034</v>
      </c>
      <c r="K108" s="65">
        <v>9116051.4521999992</v>
      </c>
      <c r="L108" s="65">
        <v>1826</v>
      </c>
      <c r="M108" s="65">
        <v>2684059.0946999998</v>
      </c>
      <c r="N108" s="65">
        <v>14392</v>
      </c>
      <c r="O108" s="65">
        <v>6280392.3973000003</v>
      </c>
    </row>
    <row r="109" spans="2:15" s="18" customFormat="1" ht="18" customHeight="1">
      <c r="B109" s="119"/>
      <c r="C109" s="16" t="s">
        <v>965</v>
      </c>
      <c r="D109" s="65">
        <v>39173</v>
      </c>
      <c r="E109" s="65">
        <v>21174446.5255</v>
      </c>
      <c r="F109" s="65">
        <v>19446</v>
      </c>
      <c r="G109" s="65">
        <v>7579831.1968999999</v>
      </c>
      <c r="H109" s="65">
        <v>7731</v>
      </c>
      <c r="I109" s="65">
        <v>3408287.1269</v>
      </c>
      <c r="J109" s="65">
        <v>3619</v>
      </c>
      <c r="K109" s="65">
        <v>5245273.5580000002</v>
      </c>
      <c r="L109" s="65">
        <v>1337</v>
      </c>
      <c r="M109" s="65">
        <v>1952849.9251000001</v>
      </c>
      <c r="N109" s="65">
        <v>7040</v>
      </c>
      <c r="O109" s="65">
        <v>2988204.7185999998</v>
      </c>
    </row>
    <row r="110" spans="2:15" s="18" customFormat="1" ht="18" customHeight="1">
      <c r="B110" s="119"/>
      <c r="C110" s="16" t="s">
        <v>966</v>
      </c>
      <c r="D110" s="65">
        <v>33377</v>
      </c>
      <c r="E110" s="65">
        <v>19866060.185599998</v>
      </c>
      <c r="F110" s="65">
        <v>14155</v>
      </c>
      <c r="G110" s="65">
        <v>8368605.7551999995</v>
      </c>
      <c r="H110" s="65">
        <v>7004</v>
      </c>
      <c r="I110" s="65">
        <v>2965381.8914999999</v>
      </c>
      <c r="J110" s="65">
        <v>2860</v>
      </c>
      <c r="K110" s="65">
        <v>3770800.8665</v>
      </c>
      <c r="L110" s="65">
        <v>1677</v>
      </c>
      <c r="M110" s="65">
        <v>2007681.5260000001</v>
      </c>
      <c r="N110" s="65">
        <v>7681</v>
      </c>
      <c r="O110" s="65">
        <v>2753590.1464</v>
      </c>
    </row>
    <row r="111" spans="2:15" s="18" customFormat="1" ht="18" customHeight="1">
      <c r="B111" s="119"/>
      <c r="C111" s="16" t="s">
        <v>967</v>
      </c>
      <c r="D111" s="65">
        <v>27689</v>
      </c>
      <c r="E111" s="65">
        <v>15120333.862499999</v>
      </c>
      <c r="F111" s="65">
        <v>13067</v>
      </c>
      <c r="G111" s="65">
        <v>6055330.5805000002</v>
      </c>
      <c r="H111" s="65">
        <v>6399</v>
      </c>
      <c r="I111" s="65">
        <v>3436438.1557999998</v>
      </c>
      <c r="J111" s="65">
        <v>1917</v>
      </c>
      <c r="K111" s="65">
        <v>2339110.5991000002</v>
      </c>
      <c r="L111" s="65">
        <v>1254</v>
      </c>
      <c r="M111" s="65">
        <v>1462197.1122000001</v>
      </c>
      <c r="N111" s="65">
        <v>5052</v>
      </c>
      <c r="O111" s="65">
        <v>1827257.4149</v>
      </c>
    </row>
    <row r="112" spans="2:15" s="18" customFormat="1" ht="18" customHeight="1">
      <c r="B112" s="119"/>
      <c r="C112" s="16" t="s">
        <v>968</v>
      </c>
      <c r="D112" s="65">
        <v>38408</v>
      </c>
      <c r="E112" s="65">
        <v>20317120.505650003</v>
      </c>
      <c r="F112" s="65">
        <v>20025</v>
      </c>
      <c r="G112" s="65">
        <v>8724014.7517000008</v>
      </c>
      <c r="H112" s="65">
        <v>7064</v>
      </c>
      <c r="I112" s="65">
        <v>3383861.1935999999</v>
      </c>
      <c r="J112" s="65">
        <v>2088</v>
      </c>
      <c r="K112" s="65">
        <v>2957753.21</v>
      </c>
      <c r="L112" s="65">
        <v>1479</v>
      </c>
      <c r="M112" s="65">
        <v>1813601.1735</v>
      </c>
      <c r="N112" s="65">
        <v>7752</v>
      </c>
      <c r="O112" s="65">
        <v>3437890.1768499999</v>
      </c>
    </row>
    <row r="113" spans="2:15" s="18" customFormat="1" ht="18" customHeight="1">
      <c r="B113" s="119"/>
      <c r="C113" s="16" t="s">
        <v>969</v>
      </c>
      <c r="D113" s="65">
        <v>32310</v>
      </c>
      <c r="E113" s="65">
        <v>17804666.688099999</v>
      </c>
      <c r="F113" s="65">
        <v>18144</v>
      </c>
      <c r="G113" s="65">
        <v>8385822.3554999996</v>
      </c>
      <c r="H113" s="65">
        <v>6557</v>
      </c>
      <c r="I113" s="65">
        <v>3048627.2740000002</v>
      </c>
      <c r="J113" s="65">
        <v>2214</v>
      </c>
      <c r="K113" s="65">
        <v>3324743.22</v>
      </c>
      <c r="L113" s="65">
        <v>915</v>
      </c>
      <c r="M113" s="65">
        <v>1084541.0936</v>
      </c>
      <c r="N113" s="65">
        <v>4480</v>
      </c>
      <c r="O113" s="65">
        <v>1960932.7450000001</v>
      </c>
    </row>
    <row r="114" spans="2:15" s="18" customFormat="1" ht="18" customHeight="1">
      <c r="B114" s="119"/>
      <c r="C114" s="16" t="s">
        <v>970</v>
      </c>
      <c r="D114" s="65">
        <v>133881</v>
      </c>
      <c r="E114" s="65">
        <v>21004307.288400002</v>
      </c>
      <c r="F114" s="65">
        <v>108653</v>
      </c>
      <c r="G114" s="65">
        <v>10616090.281400001</v>
      </c>
      <c r="H114" s="65">
        <v>13037</v>
      </c>
      <c r="I114" s="65">
        <v>3700904.7385</v>
      </c>
      <c r="J114" s="65">
        <v>1744</v>
      </c>
      <c r="K114" s="65">
        <v>2338005.9134999998</v>
      </c>
      <c r="L114" s="65">
        <v>1647</v>
      </c>
      <c r="M114" s="65">
        <v>2027363.966</v>
      </c>
      <c r="N114" s="65">
        <v>8800</v>
      </c>
      <c r="O114" s="65">
        <v>2321942.389</v>
      </c>
    </row>
    <row r="115" spans="2:15" s="18" customFormat="1" ht="18" customHeight="1">
      <c r="B115" s="119"/>
      <c r="C115" s="16" t="s">
        <v>918</v>
      </c>
      <c r="D115" s="65">
        <v>30558</v>
      </c>
      <c r="E115" s="65">
        <v>4405248.4090999998</v>
      </c>
      <c r="F115" s="65">
        <v>21926</v>
      </c>
      <c r="G115" s="65">
        <v>1709453.202</v>
      </c>
      <c r="H115" s="65">
        <v>2713</v>
      </c>
      <c r="I115" s="65">
        <v>414880.22039999999</v>
      </c>
      <c r="J115" s="65">
        <v>575</v>
      </c>
      <c r="K115" s="65">
        <v>610021.89800000004</v>
      </c>
      <c r="L115" s="65">
        <v>1008</v>
      </c>
      <c r="M115" s="65">
        <v>812050.49349999998</v>
      </c>
      <c r="N115" s="65">
        <v>4336</v>
      </c>
      <c r="O115" s="65">
        <v>858842.59519999998</v>
      </c>
    </row>
    <row r="116" spans="2:15" s="18" customFormat="1" ht="18" customHeight="1">
      <c r="B116" s="119" t="s">
        <v>980</v>
      </c>
      <c r="C116" s="14" t="s">
        <v>917</v>
      </c>
      <c r="D116" s="64">
        <v>564466</v>
      </c>
      <c r="E116" s="64">
        <v>230607710.36565</v>
      </c>
      <c r="F116" s="64">
        <v>338288</v>
      </c>
      <c r="G116" s="64">
        <v>89275780.922399998</v>
      </c>
      <c r="H116" s="64">
        <v>92704</v>
      </c>
      <c r="I116" s="64">
        <v>37901877.478050001</v>
      </c>
      <c r="J116" s="64">
        <v>26981</v>
      </c>
      <c r="K116" s="64">
        <v>44934545.520999998</v>
      </c>
      <c r="L116" s="64">
        <v>14492</v>
      </c>
      <c r="M116" s="64">
        <v>18271738.543400001</v>
      </c>
      <c r="N116" s="64">
        <v>92001</v>
      </c>
      <c r="O116" s="64">
        <v>40223767.900800005</v>
      </c>
    </row>
    <row r="117" spans="2:15" s="18" customFormat="1" ht="18" customHeight="1">
      <c r="B117" s="119"/>
      <c r="C117" s="16" t="s">
        <v>964</v>
      </c>
      <c r="D117" s="65">
        <v>102497</v>
      </c>
      <c r="E117" s="65">
        <v>64421939.863949999</v>
      </c>
      <c r="F117" s="65">
        <v>44398</v>
      </c>
      <c r="G117" s="65">
        <v>24688777.691399999</v>
      </c>
      <c r="H117" s="65">
        <v>21636</v>
      </c>
      <c r="I117" s="65">
        <v>11412782.883950001</v>
      </c>
      <c r="J117" s="65">
        <v>7928</v>
      </c>
      <c r="K117" s="65">
        <v>11549449.015900001</v>
      </c>
      <c r="L117" s="65">
        <v>2270</v>
      </c>
      <c r="M117" s="65">
        <v>3260218.1732000001</v>
      </c>
      <c r="N117" s="65">
        <v>26265</v>
      </c>
      <c r="O117" s="65">
        <v>13510712.0995</v>
      </c>
    </row>
    <row r="118" spans="2:15" s="18" customFormat="1" ht="18" customHeight="1">
      <c r="B118" s="119"/>
      <c r="C118" s="16" t="s">
        <v>965</v>
      </c>
      <c r="D118" s="65">
        <v>51816</v>
      </c>
      <c r="E118" s="65">
        <v>29121398.7863</v>
      </c>
      <c r="F118" s="65">
        <v>25003</v>
      </c>
      <c r="G118" s="65">
        <v>10635576.153999999</v>
      </c>
      <c r="H118" s="65">
        <v>10495</v>
      </c>
      <c r="I118" s="65">
        <v>4792976.6818000004</v>
      </c>
      <c r="J118" s="65">
        <v>5056</v>
      </c>
      <c r="K118" s="65">
        <v>6708657.8876999998</v>
      </c>
      <c r="L118" s="65">
        <v>1917</v>
      </c>
      <c r="M118" s="65">
        <v>2002942.5155</v>
      </c>
      <c r="N118" s="65">
        <v>9345</v>
      </c>
      <c r="O118" s="65">
        <v>4981245.5472999997</v>
      </c>
    </row>
    <row r="119" spans="2:15" s="18" customFormat="1" ht="18" customHeight="1">
      <c r="B119" s="119"/>
      <c r="C119" s="16" t="s">
        <v>966</v>
      </c>
      <c r="D119" s="65">
        <v>45873</v>
      </c>
      <c r="E119" s="65">
        <v>31550375.794900004</v>
      </c>
      <c r="F119" s="65">
        <v>19009</v>
      </c>
      <c r="G119" s="65">
        <v>13218019.937899999</v>
      </c>
      <c r="H119" s="65">
        <v>10650</v>
      </c>
      <c r="I119" s="65">
        <v>4887914.1980999997</v>
      </c>
      <c r="J119" s="65">
        <v>3826</v>
      </c>
      <c r="K119" s="65">
        <v>6181492.2180000003</v>
      </c>
      <c r="L119" s="65">
        <v>1966</v>
      </c>
      <c r="M119" s="65">
        <v>2677663.5181</v>
      </c>
      <c r="N119" s="65">
        <v>10422</v>
      </c>
      <c r="O119" s="65">
        <v>4585285.9227999998</v>
      </c>
    </row>
    <row r="120" spans="2:15" s="18" customFormat="1" ht="18" customHeight="1">
      <c r="B120" s="119"/>
      <c r="C120" s="16" t="s">
        <v>967</v>
      </c>
      <c r="D120" s="65">
        <v>44512</v>
      </c>
      <c r="E120" s="65">
        <v>23986881.381399997</v>
      </c>
      <c r="F120" s="65">
        <v>19625</v>
      </c>
      <c r="G120" s="65">
        <v>8564647.9214999992</v>
      </c>
      <c r="H120" s="65">
        <v>10306</v>
      </c>
      <c r="I120" s="65">
        <v>5098267.4642000003</v>
      </c>
      <c r="J120" s="65">
        <v>2902</v>
      </c>
      <c r="K120" s="65">
        <v>3697309.7343000001</v>
      </c>
      <c r="L120" s="65">
        <v>2016</v>
      </c>
      <c r="M120" s="65">
        <v>2857341.9896</v>
      </c>
      <c r="N120" s="65">
        <v>9663</v>
      </c>
      <c r="O120" s="65">
        <v>3769314.2718000002</v>
      </c>
    </row>
    <row r="121" spans="2:15" s="18" customFormat="1" ht="18" customHeight="1">
      <c r="B121" s="119"/>
      <c r="C121" s="16" t="s">
        <v>968</v>
      </c>
      <c r="D121" s="65">
        <v>60604</v>
      </c>
      <c r="E121" s="65">
        <v>30061979.188399997</v>
      </c>
      <c r="F121" s="65">
        <v>30261</v>
      </c>
      <c r="G121" s="65">
        <v>11618521.967399999</v>
      </c>
      <c r="H121" s="65">
        <v>11245</v>
      </c>
      <c r="I121" s="65">
        <v>4245195.7922</v>
      </c>
      <c r="J121" s="65">
        <v>2699</v>
      </c>
      <c r="K121" s="65">
        <v>5239514.1498999996</v>
      </c>
      <c r="L121" s="65">
        <v>1855</v>
      </c>
      <c r="M121" s="65">
        <v>2501582.9689000002</v>
      </c>
      <c r="N121" s="65">
        <v>14544</v>
      </c>
      <c r="O121" s="65">
        <v>6457164.3099999996</v>
      </c>
    </row>
    <row r="122" spans="2:15" s="18" customFormat="1" ht="18" customHeight="1">
      <c r="B122" s="119"/>
      <c r="C122" s="16" t="s">
        <v>969</v>
      </c>
      <c r="D122" s="65">
        <v>42391</v>
      </c>
      <c r="E122" s="65">
        <v>24528755.168699998</v>
      </c>
      <c r="F122" s="65">
        <v>22829</v>
      </c>
      <c r="G122" s="65">
        <v>7481146.5209999997</v>
      </c>
      <c r="H122" s="65">
        <v>8411</v>
      </c>
      <c r="I122" s="65">
        <v>3254945.128</v>
      </c>
      <c r="J122" s="65">
        <v>2251</v>
      </c>
      <c r="K122" s="65">
        <v>9361522.5821000002</v>
      </c>
      <c r="L122" s="65">
        <v>1035</v>
      </c>
      <c r="M122" s="65">
        <v>1314991.1861</v>
      </c>
      <c r="N122" s="65">
        <v>7865</v>
      </c>
      <c r="O122" s="65">
        <v>3116149.7514999998</v>
      </c>
    </row>
    <row r="123" spans="2:15" s="18" customFormat="1" ht="18" customHeight="1">
      <c r="B123" s="119"/>
      <c r="C123" s="16" t="s">
        <v>970</v>
      </c>
      <c r="D123" s="65">
        <v>175607</v>
      </c>
      <c r="E123" s="65">
        <v>20838508.444300003</v>
      </c>
      <c r="F123" s="65">
        <v>145957</v>
      </c>
      <c r="G123" s="65">
        <v>10922670.664899999</v>
      </c>
      <c r="H123" s="65">
        <v>16445</v>
      </c>
      <c r="I123" s="65">
        <v>3670647.9490999999</v>
      </c>
      <c r="J123" s="65">
        <v>1776</v>
      </c>
      <c r="K123" s="65">
        <v>1479171.3281</v>
      </c>
      <c r="L123" s="65">
        <v>2195</v>
      </c>
      <c r="M123" s="65">
        <v>2254715.4550000001</v>
      </c>
      <c r="N123" s="65">
        <v>9234</v>
      </c>
      <c r="O123" s="65">
        <v>2511303.0471999999</v>
      </c>
    </row>
    <row r="124" spans="2:15" s="18" customFormat="1" ht="18" customHeight="1">
      <c r="B124" s="119"/>
      <c r="C124" s="16" t="s">
        <v>918</v>
      </c>
      <c r="D124" s="65">
        <v>41166</v>
      </c>
      <c r="E124" s="65">
        <v>6097871.7377000004</v>
      </c>
      <c r="F124" s="65">
        <v>31206</v>
      </c>
      <c r="G124" s="65">
        <v>2146420.0643000002</v>
      </c>
      <c r="H124" s="65">
        <v>3516</v>
      </c>
      <c r="I124" s="65">
        <v>539147.38069999998</v>
      </c>
      <c r="J124" s="65">
        <v>543</v>
      </c>
      <c r="K124" s="65">
        <v>717428.60499999998</v>
      </c>
      <c r="L124" s="65">
        <v>1238</v>
      </c>
      <c r="M124" s="65">
        <v>1402282.737</v>
      </c>
      <c r="N124" s="65">
        <v>4663</v>
      </c>
      <c r="O124" s="65">
        <v>1292592.9506999999</v>
      </c>
    </row>
    <row r="125" spans="2:15" s="18" customFormat="1" ht="18" customHeight="1">
      <c r="B125" s="119" t="s">
        <v>1549</v>
      </c>
      <c r="C125" s="14" t="s">
        <v>917</v>
      </c>
      <c r="D125" s="64">
        <v>463883</v>
      </c>
      <c r="E125" s="64">
        <v>172607854.92955002</v>
      </c>
      <c r="F125" s="64">
        <v>270777</v>
      </c>
      <c r="G125" s="64">
        <v>71018326.512000009</v>
      </c>
      <c r="H125" s="64">
        <v>80990</v>
      </c>
      <c r="I125" s="64">
        <v>31067179.427350003</v>
      </c>
      <c r="J125" s="64">
        <v>14335</v>
      </c>
      <c r="K125" s="64">
        <v>18741924.115799997</v>
      </c>
      <c r="L125" s="64">
        <v>15343</v>
      </c>
      <c r="M125" s="64">
        <v>16740873.399999997</v>
      </c>
      <c r="N125" s="64">
        <v>82438</v>
      </c>
      <c r="O125" s="64">
        <v>35039551.474400006</v>
      </c>
    </row>
    <row r="126" spans="2:15" s="18" customFormat="1" ht="18" customHeight="1">
      <c r="B126" s="119"/>
      <c r="C126" s="16" t="s">
        <v>964</v>
      </c>
      <c r="D126" s="65">
        <v>66774</v>
      </c>
      <c r="E126" s="65">
        <v>36580781.198100001</v>
      </c>
      <c r="F126" s="65">
        <v>26868</v>
      </c>
      <c r="G126" s="65">
        <v>14135729.305</v>
      </c>
      <c r="H126" s="65">
        <v>14628</v>
      </c>
      <c r="I126" s="65">
        <v>7084598.6621000003</v>
      </c>
      <c r="J126" s="65">
        <v>3237</v>
      </c>
      <c r="K126" s="65">
        <v>3869471.6455000001</v>
      </c>
      <c r="L126" s="65">
        <v>2095</v>
      </c>
      <c r="M126" s="65">
        <v>2317616.2346999999</v>
      </c>
      <c r="N126" s="65">
        <v>19946</v>
      </c>
      <c r="O126" s="65">
        <v>9173365.3508000001</v>
      </c>
    </row>
    <row r="127" spans="2:15" s="18" customFormat="1" ht="18" customHeight="1">
      <c r="B127" s="119"/>
      <c r="C127" s="16" t="s">
        <v>965</v>
      </c>
      <c r="D127" s="65">
        <v>45552</v>
      </c>
      <c r="E127" s="65">
        <v>22563704.707800001</v>
      </c>
      <c r="F127" s="65">
        <v>20272</v>
      </c>
      <c r="G127" s="65">
        <v>8196170.5116999997</v>
      </c>
      <c r="H127" s="65">
        <v>8916</v>
      </c>
      <c r="I127" s="65">
        <v>4108165.6686</v>
      </c>
      <c r="J127" s="65">
        <v>2423</v>
      </c>
      <c r="K127" s="65">
        <v>3005501.3204999999</v>
      </c>
      <c r="L127" s="65">
        <v>1582</v>
      </c>
      <c r="M127" s="65">
        <v>2046842.611</v>
      </c>
      <c r="N127" s="65">
        <v>12359</v>
      </c>
      <c r="O127" s="65">
        <v>5207024.5959999999</v>
      </c>
    </row>
    <row r="128" spans="2:15" s="18" customFormat="1" ht="18" customHeight="1">
      <c r="B128" s="119"/>
      <c r="C128" s="16" t="s">
        <v>966</v>
      </c>
      <c r="D128" s="65">
        <v>37597</v>
      </c>
      <c r="E128" s="65">
        <v>23209448.871300001</v>
      </c>
      <c r="F128" s="65">
        <v>13665</v>
      </c>
      <c r="G128" s="65">
        <v>7970399.6299000001</v>
      </c>
      <c r="H128" s="65">
        <v>8273</v>
      </c>
      <c r="I128" s="65">
        <v>3095935.8856000002</v>
      </c>
      <c r="J128" s="65">
        <v>2230</v>
      </c>
      <c r="K128" s="65">
        <v>3749901.4763000002</v>
      </c>
      <c r="L128" s="65">
        <v>2160</v>
      </c>
      <c r="M128" s="65">
        <v>2113571.5024999999</v>
      </c>
      <c r="N128" s="65">
        <v>11269</v>
      </c>
      <c r="O128" s="65">
        <v>6279640.3770000003</v>
      </c>
    </row>
    <row r="129" spans="2:15" s="18" customFormat="1" ht="18" customHeight="1">
      <c r="B129" s="119"/>
      <c r="C129" s="16" t="s">
        <v>967</v>
      </c>
      <c r="D129" s="65">
        <v>35388</v>
      </c>
      <c r="E129" s="65">
        <v>16966903.344500002</v>
      </c>
      <c r="F129" s="65">
        <v>16213</v>
      </c>
      <c r="G129" s="65">
        <v>6898744.5782000003</v>
      </c>
      <c r="H129" s="65">
        <v>10102</v>
      </c>
      <c r="I129" s="65">
        <v>3916697.6030000001</v>
      </c>
      <c r="J129" s="65">
        <v>1181</v>
      </c>
      <c r="K129" s="65">
        <v>1120562.6769999999</v>
      </c>
      <c r="L129" s="65">
        <v>2269</v>
      </c>
      <c r="M129" s="65">
        <v>2490297.5014</v>
      </c>
      <c r="N129" s="65">
        <v>5623</v>
      </c>
      <c r="O129" s="65">
        <v>2540600.9849</v>
      </c>
    </row>
    <row r="130" spans="2:15" s="18" customFormat="1" ht="18" customHeight="1">
      <c r="B130" s="119"/>
      <c r="C130" s="16" t="s">
        <v>968</v>
      </c>
      <c r="D130" s="65">
        <v>53981</v>
      </c>
      <c r="E130" s="65">
        <v>27639903.251400001</v>
      </c>
      <c r="F130" s="65">
        <v>28663</v>
      </c>
      <c r="G130" s="65">
        <v>11829036.187200001</v>
      </c>
      <c r="H130" s="65">
        <v>10326</v>
      </c>
      <c r="I130" s="65">
        <v>4308906.7462999998</v>
      </c>
      <c r="J130" s="65">
        <v>1900</v>
      </c>
      <c r="K130" s="65">
        <v>2965194.2264999999</v>
      </c>
      <c r="L130" s="65">
        <v>2308</v>
      </c>
      <c r="M130" s="65">
        <v>2642421.4610000001</v>
      </c>
      <c r="N130" s="65">
        <v>10784</v>
      </c>
      <c r="O130" s="65">
        <v>5894344.6304000001</v>
      </c>
    </row>
    <row r="131" spans="2:15" s="18" customFormat="1" ht="18" customHeight="1">
      <c r="B131" s="119"/>
      <c r="C131" s="16" t="s">
        <v>969</v>
      </c>
      <c r="D131" s="65">
        <v>35377</v>
      </c>
      <c r="E131" s="65">
        <v>18091592.071000002</v>
      </c>
      <c r="F131" s="65">
        <v>20166</v>
      </c>
      <c r="G131" s="65">
        <v>8964480.1436999999</v>
      </c>
      <c r="H131" s="65">
        <v>7608</v>
      </c>
      <c r="I131" s="65">
        <v>3557281.8243</v>
      </c>
      <c r="J131" s="65">
        <v>1295</v>
      </c>
      <c r="K131" s="65">
        <v>1858791.3659999999</v>
      </c>
      <c r="L131" s="65">
        <v>1194</v>
      </c>
      <c r="M131" s="65">
        <v>1276104.9978</v>
      </c>
      <c r="N131" s="65">
        <v>5114</v>
      </c>
      <c r="O131" s="65">
        <v>2434933.7392000002</v>
      </c>
    </row>
    <row r="132" spans="2:15" s="18" customFormat="1" ht="18" customHeight="1">
      <c r="B132" s="119"/>
      <c r="C132" s="16" t="s">
        <v>970</v>
      </c>
      <c r="D132" s="65">
        <v>177104</v>
      </c>
      <c r="E132" s="65">
        <v>24729615.470550001</v>
      </c>
      <c r="F132" s="65">
        <v>136581</v>
      </c>
      <c r="G132" s="65">
        <v>12155767.454500001</v>
      </c>
      <c r="H132" s="65">
        <v>19724</v>
      </c>
      <c r="I132" s="65">
        <v>4719007.6740499996</v>
      </c>
      <c r="J132" s="65">
        <v>1826</v>
      </c>
      <c r="K132" s="65">
        <v>1901427.0959999999</v>
      </c>
      <c r="L132" s="65">
        <v>2979</v>
      </c>
      <c r="M132" s="65">
        <v>2930133.0318999998</v>
      </c>
      <c r="N132" s="65">
        <v>15994</v>
      </c>
      <c r="O132" s="65">
        <v>3023280.2141</v>
      </c>
    </row>
    <row r="133" spans="2:15" s="18" customFormat="1" ht="18" customHeight="1">
      <c r="B133" s="119"/>
      <c r="C133" s="16" t="s">
        <v>918</v>
      </c>
      <c r="D133" s="65">
        <v>12110</v>
      </c>
      <c r="E133" s="65">
        <v>2825906.0148999998</v>
      </c>
      <c r="F133" s="65">
        <v>8349</v>
      </c>
      <c r="G133" s="65">
        <v>867998.70180000004</v>
      </c>
      <c r="H133" s="65">
        <v>1413</v>
      </c>
      <c r="I133" s="65">
        <v>276585.36339999997</v>
      </c>
      <c r="J133" s="65">
        <v>243</v>
      </c>
      <c r="K133" s="65">
        <v>271074.30800000002</v>
      </c>
      <c r="L133" s="65">
        <v>756</v>
      </c>
      <c r="M133" s="65">
        <v>923886.05969999998</v>
      </c>
      <c r="N133" s="65">
        <v>1349</v>
      </c>
      <c r="O133" s="65">
        <v>486361.58199999999</v>
      </c>
    </row>
    <row r="134" spans="2:15" s="18" customFormat="1" ht="18" customHeight="1">
      <c r="B134" s="119" t="s">
        <v>981</v>
      </c>
      <c r="C134" s="14" t="s">
        <v>917</v>
      </c>
      <c r="D134" s="64">
        <v>664511</v>
      </c>
      <c r="E134" s="64">
        <v>185386551.96562001</v>
      </c>
      <c r="F134" s="64">
        <v>430874</v>
      </c>
      <c r="G134" s="64">
        <v>74256538.747419998</v>
      </c>
      <c r="H134" s="64">
        <v>99842</v>
      </c>
      <c r="I134" s="64">
        <v>33028267.565200001</v>
      </c>
      <c r="J134" s="64">
        <v>21239</v>
      </c>
      <c r="K134" s="64">
        <v>20883290.072499998</v>
      </c>
      <c r="L134" s="64">
        <v>16539</v>
      </c>
      <c r="M134" s="64">
        <v>16165654.629799999</v>
      </c>
      <c r="N134" s="64">
        <v>96017</v>
      </c>
      <c r="O134" s="64">
        <v>41052800.9507</v>
      </c>
    </row>
    <row r="135" spans="2:15" s="18" customFormat="1" ht="18" customHeight="1">
      <c r="B135" s="119"/>
      <c r="C135" s="16" t="s">
        <v>964</v>
      </c>
      <c r="D135" s="65">
        <v>91420</v>
      </c>
      <c r="E135" s="65">
        <v>45480328.6972</v>
      </c>
      <c r="F135" s="65">
        <v>40877</v>
      </c>
      <c r="G135" s="65">
        <v>16404253.149900001</v>
      </c>
      <c r="H135" s="65">
        <v>19311</v>
      </c>
      <c r="I135" s="65">
        <v>8993553.5869999994</v>
      </c>
      <c r="J135" s="65">
        <v>5627</v>
      </c>
      <c r="K135" s="65">
        <v>4496990.2423</v>
      </c>
      <c r="L135" s="65">
        <v>2386</v>
      </c>
      <c r="M135" s="65">
        <v>2836671.9707999998</v>
      </c>
      <c r="N135" s="65">
        <v>23219</v>
      </c>
      <c r="O135" s="65">
        <v>12748859.747199999</v>
      </c>
    </row>
    <row r="136" spans="2:15" s="18" customFormat="1" ht="18" customHeight="1">
      <c r="B136" s="119"/>
      <c r="C136" s="16" t="s">
        <v>965</v>
      </c>
      <c r="D136" s="65">
        <v>52435</v>
      </c>
      <c r="E136" s="65">
        <v>23806209.237</v>
      </c>
      <c r="F136" s="65">
        <v>24060</v>
      </c>
      <c r="G136" s="65">
        <v>8173891.5719999997</v>
      </c>
      <c r="H136" s="65">
        <v>11759</v>
      </c>
      <c r="I136" s="65">
        <v>4464399.3991999999</v>
      </c>
      <c r="J136" s="65">
        <v>3034</v>
      </c>
      <c r="K136" s="65">
        <v>3240166.0570999999</v>
      </c>
      <c r="L136" s="65">
        <v>2210</v>
      </c>
      <c r="M136" s="65">
        <v>2343593.6713</v>
      </c>
      <c r="N136" s="65">
        <v>11372</v>
      </c>
      <c r="O136" s="65">
        <v>5584158.5373999998</v>
      </c>
    </row>
    <row r="137" spans="2:15" s="18" customFormat="1" ht="18" customHeight="1">
      <c r="B137" s="119"/>
      <c r="C137" s="16" t="s">
        <v>966</v>
      </c>
      <c r="D137" s="65">
        <v>43198</v>
      </c>
      <c r="E137" s="65">
        <v>19155377.236199997</v>
      </c>
      <c r="F137" s="65">
        <v>16237</v>
      </c>
      <c r="G137" s="65">
        <v>6040008.6303000003</v>
      </c>
      <c r="H137" s="65">
        <v>10397</v>
      </c>
      <c r="I137" s="65">
        <v>3063636.5795999998</v>
      </c>
      <c r="J137" s="65">
        <v>2414</v>
      </c>
      <c r="K137" s="65">
        <v>2986161.8960000002</v>
      </c>
      <c r="L137" s="65">
        <v>2112</v>
      </c>
      <c r="M137" s="65">
        <v>2105276.4326999998</v>
      </c>
      <c r="N137" s="65">
        <v>12038</v>
      </c>
      <c r="O137" s="65">
        <v>4960293.6975999996</v>
      </c>
    </row>
    <row r="138" spans="2:15" s="18" customFormat="1" ht="18" customHeight="1">
      <c r="B138" s="119"/>
      <c r="C138" s="16" t="s">
        <v>967</v>
      </c>
      <c r="D138" s="65">
        <v>40138</v>
      </c>
      <c r="E138" s="65">
        <v>17397870.4727</v>
      </c>
      <c r="F138" s="65">
        <v>19002</v>
      </c>
      <c r="G138" s="65">
        <v>7131030.1390000004</v>
      </c>
      <c r="H138" s="65">
        <v>10620</v>
      </c>
      <c r="I138" s="65">
        <v>3980328.4619</v>
      </c>
      <c r="J138" s="65">
        <v>1574</v>
      </c>
      <c r="K138" s="65">
        <v>1269415.3827</v>
      </c>
      <c r="L138" s="65">
        <v>1784</v>
      </c>
      <c r="M138" s="65">
        <v>1763529.8228</v>
      </c>
      <c r="N138" s="65">
        <v>7158</v>
      </c>
      <c r="O138" s="65">
        <v>3253566.6663000002</v>
      </c>
    </row>
    <row r="139" spans="2:15" s="18" customFormat="1" ht="18" customHeight="1">
      <c r="B139" s="119"/>
      <c r="C139" s="16" t="s">
        <v>968</v>
      </c>
      <c r="D139" s="65">
        <v>63393</v>
      </c>
      <c r="E139" s="65">
        <v>24554399.841400001</v>
      </c>
      <c r="F139" s="65">
        <v>31283</v>
      </c>
      <c r="G139" s="65">
        <v>8291759.3732000003</v>
      </c>
      <c r="H139" s="65">
        <v>12327</v>
      </c>
      <c r="I139" s="65">
        <v>4353731.4727999996</v>
      </c>
      <c r="J139" s="65">
        <v>2036</v>
      </c>
      <c r="K139" s="65">
        <v>2714431.5734999999</v>
      </c>
      <c r="L139" s="65">
        <v>2236</v>
      </c>
      <c r="M139" s="65">
        <v>2683041.2875000001</v>
      </c>
      <c r="N139" s="65">
        <v>15511</v>
      </c>
      <c r="O139" s="65">
        <v>6511436.1343999999</v>
      </c>
    </row>
    <row r="140" spans="2:15" s="18" customFormat="1" ht="18" customHeight="1">
      <c r="B140" s="119"/>
      <c r="C140" s="16" t="s">
        <v>969</v>
      </c>
      <c r="D140" s="65">
        <v>46802</v>
      </c>
      <c r="E140" s="65">
        <v>19706306.6822</v>
      </c>
      <c r="F140" s="65">
        <v>25703</v>
      </c>
      <c r="G140" s="65">
        <v>8843814.8039999995</v>
      </c>
      <c r="H140" s="65">
        <v>9572</v>
      </c>
      <c r="I140" s="65">
        <v>3296868.7022000002</v>
      </c>
      <c r="J140" s="65">
        <v>2174</v>
      </c>
      <c r="K140" s="65">
        <v>3023140.6230000001</v>
      </c>
      <c r="L140" s="65">
        <v>1155</v>
      </c>
      <c r="M140" s="65">
        <v>1021366.7709999999</v>
      </c>
      <c r="N140" s="65">
        <v>8198</v>
      </c>
      <c r="O140" s="65">
        <v>3521115.7820000001</v>
      </c>
    </row>
    <row r="141" spans="2:15" s="18" customFormat="1" ht="18" customHeight="1">
      <c r="B141" s="119"/>
      <c r="C141" s="16" t="s">
        <v>970</v>
      </c>
      <c r="D141" s="65">
        <v>291304</v>
      </c>
      <c r="E141" s="65">
        <v>30590518.449019998</v>
      </c>
      <c r="F141" s="65">
        <v>246097</v>
      </c>
      <c r="G141" s="65">
        <v>17363704.271419998</v>
      </c>
      <c r="H141" s="65">
        <v>22698</v>
      </c>
      <c r="I141" s="65">
        <v>4413443.3954999996</v>
      </c>
      <c r="J141" s="65">
        <v>3736</v>
      </c>
      <c r="K141" s="65">
        <v>2744519.0750000002</v>
      </c>
      <c r="L141" s="65">
        <v>3476</v>
      </c>
      <c r="M141" s="65">
        <v>2435255.1123000002</v>
      </c>
      <c r="N141" s="65">
        <v>15297</v>
      </c>
      <c r="O141" s="65">
        <v>3633596.5948000001</v>
      </c>
    </row>
    <row r="142" spans="2:15" s="18" customFormat="1" ht="18" customHeight="1">
      <c r="B142" s="119"/>
      <c r="C142" s="16" t="s">
        <v>918</v>
      </c>
      <c r="D142" s="65">
        <v>35821</v>
      </c>
      <c r="E142" s="65">
        <v>4695541.3498999998</v>
      </c>
      <c r="F142" s="65">
        <v>27615</v>
      </c>
      <c r="G142" s="65">
        <v>2008076.8075999999</v>
      </c>
      <c r="H142" s="65">
        <v>3158</v>
      </c>
      <c r="I142" s="65">
        <v>462305.967</v>
      </c>
      <c r="J142" s="65">
        <v>644</v>
      </c>
      <c r="K142" s="65">
        <v>408465.22289999999</v>
      </c>
      <c r="L142" s="65">
        <v>1180</v>
      </c>
      <c r="M142" s="65">
        <v>976919.56140000001</v>
      </c>
      <c r="N142" s="65">
        <v>3224</v>
      </c>
      <c r="O142" s="65">
        <v>839773.79099999997</v>
      </c>
    </row>
    <row r="143" spans="2:15" s="18" customFormat="1" ht="18" customHeight="1">
      <c r="B143" s="119" t="s">
        <v>982</v>
      </c>
      <c r="C143" s="14" t="s">
        <v>917</v>
      </c>
      <c r="D143" s="64">
        <v>824988</v>
      </c>
      <c r="E143" s="64">
        <v>268538300.45090002</v>
      </c>
      <c r="F143" s="64">
        <v>509429</v>
      </c>
      <c r="G143" s="64">
        <v>107816273.00559999</v>
      </c>
      <c r="H143" s="64">
        <v>125321</v>
      </c>
      <c r="I143" s="64">
        <v>42900911.273699999</v>
      </c>
      <c r="J143" s="64">
        <v>35326</v>
      </c>
      <c r="K143" s="64">
        <v>49668824.516800001</v>
      </c>
      <c r="L143" s="64">
        <v>20406</v>
      </c>
      <c r="M143" s="64">
        <v>21881980.0792</v>
      </c>
      <c r="N143" s="64">
        <v>134506</v>
      </c>
      <c r="O143" s="64">
        <v>46270311.575599998</v>
      </c>
    </row>
    <row r="144" spans="2:15" s="18" customFormat="1" ht="18" customHeight="1">
      <c r="B144" s="119"/>
      <c r="C144" s="16" t="s">
        <v>964</v>
      </c>
      <c r="D144" s="65">
        <v>124202</v>
      </c>
      <c r="E144" s="65">
        <v>58410760.905499995</v>
      </c>
      <c r="F144" s="65">
        <v>51632</v>
      </c>
      <c r="G144" s="65">
        <v>22710176.254700001</v>
      </c>
      <c r="H144" s="65">
        <v>26322</v>
      </c>
      <c r="I144" s="65">
        <v>10462755.8773</v>
      </c>
      <c r="J144" s="65">
        <v>7041</v>
      </c>
      <c r="K144" s="65">
        <v>8344158.8093999997</v>
      </c>
      <c r="L144" s="65">
        <v>3406</v>
      </c>
      <c r="M144" s="65">
        <v>3797653.1483</v>
      </c>
      <c r="N144" s="65">
        <v>35801</v>
      </c>
      <c r="O144" s="65">
        <v>13096016.8158</v>
      </c>
    </row>
    <row r="145" spans="2:15" s="18" customFormat="1" ht="18" customHeight="1">
      <c r="B145" s="119"/>
      <c r="C145" s="16" t="s">
        <v>965</v>
      </c>
      <c r="D145" s="65">
        <v>71610</v>
      </c>
      <c r="E145" s="65">
        <v>32334255.723300003</v>
      </c>
      <c r="F145" s="65">
        <v>32692</v>
      </c>
      <c r="G145" s="65">
        <v>11571159.4504</v>
      </c>
      <c r="H145" s="65">
        <v>13774</v>
      </c>
      <c r="I145" s="65">
        <v>4681397.0338000003</v>
      </c>
      <c r="J145" s="65">
        <v>5815</v>
      </c>
      <c r="K145" s="65">
        <v>7200767.0058000004</v>
      </c>
      <c r="L145" s="65">
        <v>2453</v>
      </c>
      <c r="M145" s="65">
        <v>2402710.0178999999</v>
      </c>
      <c r="N145" s="65">
        <v>16876</v>
      </c>
      <c r="O145" s="65">
        <v>6478222.2154000001</v>
      </c>
    </row>
    <row r="146" spans="2:15" s="18" customFormat="1" ht="18" customHeight="1">
      <c r="B146" s="119"/>
      <c r="C146" s="16" t="s">
        <v>966</v>
      </c>
      <c r="D146" s="65">
        <v>61559</v>
      </c>
      <c r="E146" s="65">
        <v>30982351.719799999</v>
      </c>
      <c r="F146" s="65">
        <v>25794</v>
      </c>
      <c r="G146" s="65">
        <v>11923693.911499999</v>
      </c>
      <c r="H146" s="65">
        <v>11988</v>
      </c>
      <c r="I146" s="65">
        <v>4360064.4696000004</v>
      </c>
      <c r="J146" s="65">
        <v>4349</v>
      </c>
      <c r="K146" s="65">
        <v>5911016.3805</v>
      </c>
      <c r="L146" s="65">
        <v>2872</v>
      </c>
      <c r="M146" s="65">
        <v>2902249.6532000001</v>
      </c>
      <c r="N146" s="65">
        <v>16556</v>
      </c>
      <c r="O146" s="65">
        <v>5885327.3049999997</v>
      </c>
    </row>
    <row r="147" spans="2:15" s="18" customFormat="1" ht="18" customHeight="1">
      <c r="B147" s="119"/>
      <c r="C147" s="16" t="s">
        <v>967</v>
      </c>
      <c r="D147" s="65">
        <v>58939</v>
      </c>
      <c r="E147" s="65">
        <v>28121067.1884</v>
      </c>
      <c r="F147" s="65">
        <v>26678</v>
      </c>
      <c r="G147" s="65">
        <v>10856500.713400001</v>
      </c>
      <c r="H147" s="65">
        <v>13716</v>
      </c>
      <c r="I147" s="65">
        <v>5262287.4620000003</v>
      </c>
      <c r="J147" s="65">
        <v>4859</v>
      </c>
      <c r="K147" s="65">
        <v>5626146.9155000001</v>
      </c>
      <c r="L147" s="65">
        <v>2533</v>
      </c>
      <c r="M147" s="65">
        <v>2706843.6691999999</v>
      </c>
      <c r="N147" s="65">
        <v>11153</v>
      </c>
      <c r="O147" s="65">
        <v>3669288.4282999998</v>
      </c>
    </row>
    <row r="148" spans="2:15" s="18" customFormat="1" ht="18" customHeight="1">
      <c r="B148" s="119"/>
      <c r="C148" s="16" t="s">
        <v>968</v>
      </c>
      <c r="D148" s="65">
        <v>82530</v>
      </c>
      <c r="E148" s="65">
        <v>39513199.636600003</v>
      </c>
      <c r="F148" s="65">
        <v>40620</v>
      </c>
      <c r="G148" s="65">
        <v>15312057.712099999</v>
      </c>
      <c r="H148" s="65">
        <v>15465</v>
      </c>
      <c r="I148" s="65">
        <v>6109811.3309000004</v>
      </c>
      <c r="J148" s="65">
        <v>4560</v>
      </c>
      <c r="K148" s="65">
        <v>6731796.1184999999</v>
      </c>
      <c r="L148" s="65">
        <v>2956</v>
      </c>
      <c r="M148" s="65">
        <v>3779642.469</v>
      </c>
      <c r="N148" s="65">
        <v>18929</v>
      </c>
      <c r="O148" s="65">
        <v>7579892.0060999999</v>
      </c>
    </row>
    <row r="149" spans="2:15" s="18" customFormat="1" ht="18" customHeight="1">
      <c r="B149" s="119"/>
      <c r="C149" s="16" t="s">
        <v>969</v>
      </c>
      <c r="D149" s="65">
        <v>60812</v>
      </c>
      <c r="E149" s="65">
        <v>29314834.9329</v>
      </c>
      <c r="F149" s="65">
        <v>33700</v>
      </c>
      <c r="G149" s="65">
        <v>13168430.0429</v>
      </c>
      <c r="H149" s="65">
        <v>11324</v>
      </c>
      <c r="I149" s="65">
        <v>4898097.5980000002</v>
      </c>
      <c r="J149" s="65">
        <v>3370</v>
      </c>
      <c r="K149" s="65">
        <v>5543198.1843999997</v>
      </c>
      <c r="L149" s="65">
        <v>1288</v>
      </c>
      <c r="M149" s="65">
        <v>1650646.1965000001</v>
      </c>
      <c r="N149" s="65">
        <v>11130</v>
      </c>
      <c r="O149" s="65">
        <v>4054462.9111000001</v>
      </c>
    </row>
    <row r="150" spans="2:15" s="18" customFormat="1" ht="18" customHeight="1">
      <c r="B150" s="119"/>
      <c r="C150" s="16" t="s">
        <v>970</v>
      </c>
      <c r="D150" s="65">
        <v>326267</v>
      </c>
      <c r="E150" s="65">
        <v>40341185.011200003</v>
      </c>
      <c r="F150" s="65">
        <v>270037</v>
      </c>
      <c r="G150" s="65">
        <v>20136521.8594</v>
      </c>
      <c r="H150" s="65">
        <v>29295</v>
      </c>
      <c r="I150" s="65">
        <v>6521322.3764000004</v>
      </c>
      <c r="J150" s="65">
        <v>3783</v>
      </c>
      <c r="K150" s="65">
        <v>5643675.7088000001</v>
      </c>
      <c r="L150" s="65">
        <v>3540</v>
      </c>
      <c r="M150" s="65">
        <v>3516233.5621000002</v>
      </c>
      <c r="N150" s="65">
        <v>19612</v>
      </c>
      <c r="O150" s="65">
        <v>4523431.5044999998</v>
      </c>
    </row>
    <row r="151" spans="2:15" s="18" customFormat="1" ht="18" customHeight="1">
      <c r="B151" s="119"/>
      <c r="C151" s="16" t="s">
        <v>918</v>
      </c>
      <c r="D151" s="65">
        <v>39069</v>
      </c>
      <c r="E151" s="65">
        <v>9520645.3331999984</v>
      </c>
      <c r="F151" s="65">
        <v>28276</v>
      </c>
      <c r="G151" s="65">
        <v>2137733.0611999999</v>
      </c>
      <c r="H151" s="65">
        <v>3437</v>
      </c>
      <c r="I151" s="65">
        <v>605175.12569999998</v>
      </c>
      <c r="J151" s="65">
        <v>1549</v>
      </c>
      <c r="K151" s="65">
        <v>4668065.3938999996</v>
      </c>
      <c r="L151" s="65">
        <v>1358</v>
      </c>
      <c r="M151" s="65">
        <v>1126001.3629999999</v>
      </c>
      <c r="N151" s="65">
        <v>4449</v>
      </c>
      <c r="O151" s="65">
        <v>983670.38939999999</v>
      </c>
    </row>
    <row r="152" spans="2:15" s="18" customFormat="1" ht="18" customHeight="1">
      <c r="B152" s="119" t="s">
        <v>983</v>
      </c>
      <c r="C152" s="14" t="s">
        <v>917</v>
      </c>
      <c r="D152" s="64">
        <v>727299</v>
      </c>
      <c r="E152" s="64">
        <v>286954277.41382498</v>
      </c>
      <c r="F152" s="64">
        <v>478867</v>
      </c>
      <c r="G152" s="64">
        <v>133572343.21465001</v>
      </c>
      <c r="H152" s="64">
        <v>115917</v>
      </c>
      <c r="I152" s="64">
        <v>53435149.105075009</v>
      </c>
      <c r="J152" s="64">
        <v>30858</v>
      </c>
      <c r="K152" s="64">
        <v>45078306.039499998</v>
      </c>
      <c r="L152" s="64">
        <v>16682</v>
      </c>
      <c r="M152" s="64">
        <v>22127287.2742</v>
      </c>
      <c r="N152" s="64">
        <v>84975</v>
      </c>
      <c r="O152" s="64">
        <v>32741191.780400001</v>
      </c>
    </row>
    <row r="153" spans="2:15" s="18" customFormat="1" ht="18" customHeight="1">
      <c r="B153" s="119"/>
      <c r="C153" s="16" t="s">
        <v>964</v>
      </c>
      <c r="D153" s="65">
        <v>93192</v>
      </c>
      <c r="E153" s="65">
        <v>62258454.7064</v>
      </c>
      <c r="F153" s="65">
        <v>47341</v>
      </c>
      <c r="G153" s="65">
        <v>30331880.048599999</v>
      </c>
      <c r="H153" s="65">
        <v>21429</v>
      </c>
      <c r="I153" s="65">
        <v>12957331.1537</v>
      </c>
      <c r="J153" s="65">
        <v>5478</v>
      </c>
      <c r="K153" s="65">
        <v>7213369.409</v>
      </c>
      <c r="L153" s="65">
        <v>2585</v>
      </c>
      <c r="M153" s="65">
        <v>4388643.9560000002</v>
      </c>
      <c r="N153" s="65">
        <v>16359</v>
      </c>
      <c r="O153" s="65">
        <v>7367230.1391000003</v>
      </c>
    </row>
    <row r="154" spans="2:15" s="18" customFormat="1" ht="18" customHeight="1">
      <c r="B154" s="119"/>
      <c r="C154" s="16" t="s">
        <v>965</v>
      </c>
      <c r="D154" s="65">
        <v>64200</v>
      </c>
      <c r="E154" s="65">
        <v>36357107.259900004</v>
      </c>
      <c r="F154" s="65">
        <v>34906</v>
      </c>
      <c r="G154" s="65">
        <v>15371724.499500001</v>
      </c>
      <c r="H154" s="65">
        <v>12446</v>
      </c>
      <c r="I154" s="65">
        <v>6039672.7494000001</v>
      </c>
      <c r="J154" s="65">
        <v>5266</v>
      </c>
      <c r="K154" s="65">
        <v>7840556.6379000004</v>
      </c>
      <c r="L154" s="65">
        <v>2217</v>
      </c>
      <c r="M154" s="65">
        <v>2456470.5049000001</v>
      </c>
      <c r="N154" s="65">
        <v>9365</v>
      </c>
      <c r="O154" s="65">
        <v>4648682.8682000004</v>
      </c>
    </row>
    <row r="155" spans="2:15" s="18" customFormat="1" ht="18" customHeight="1">
      <c r="B155" s="119"/>
      <c r="C155" s="16" t="s">
        <v>966</v>
      </c>
      <c r="D155" s="65">
        <v>52118</v>
      </c>
      <c r="E155" s="65">
        <v>37596159.058899999</v>
      </c>
      <c r="F155" s="65">
        <v>23565</v>
      </c>
      <c r="G155" s="65">
        <v>17020049.728399999</v>
      </c>
      <c r="H155" s="65">
        <v>11876</v>
      </c>
      <c r="I155" s="65">
        <v>6226662.9654999999</v>
      </c>
      <c r="J155" s="65">
        <v>4778</v>
      </c>
      <c r="K155" s="65">
        <v>6834050.2735000001</v>
      </c>
      <c r="L155" s="65">
        <v>2462</v>
      </c>
      <c r="M155" s="65">
        <v>3635604.5739000002</v>
      </c>
      <c r="N155" s="65">
        <v>9437</v>
      </c>
      <c r="O155" s="65">
        <v>3879791.5175999999</v>
      </c>
    </row>
    <row r="156" spans="2:15" s="18" customFormat="1" ht="18" customHeight="1">
      <c r="B156" s="119"/>
      <c r="C156" s="16" t="s">
        <v>967</v>
      </c>
      <c r="D156" s="65">
        <v>55184</v>
      </c>
      <c r="E156" s="65">
        <v>35209086.922375001</v>
      </c>
      <c r="F156" s="65">
        <v>28072</v>
      </c>
      <c r="G156" s="65">
        <v>15379198.105599999</v>
      </c>
      <c r="H156" s="65">
        <v>13556</v>
      </c>
      <c r="I156" s="65">
        <v>8405227.8098750003</v>
      </c>
      <c r="J156" s="65">
        <v>4494</v>
      </c>
      <c r="K156" s="65">
        <v>5588636.7361000003</v>
      </c>
      <c r="L156" s="65">
        <v>1894</v>
      </c>
      <c r="M156" s="65">
        <v>2992853.6702000001</v>
      </c>
      <c r="N156" s="65">
        <v>7168</v>
      </c>
      <c r="O156" s="65">
        <v>2843170.6006</v>
      </c>
    </row>
    <row r="157" spans="2:15" s="18" customFormat="1" ht="18" customHeight="1">
      <c r="B157" s="119"/>
      <c r="C157" s="16" t="s">
        <v>968</v>
      </c>
      <c r="D157" s="65">
        <v>79647</v>
      </c>
      <c r="E157" s="65">
        <v>37906520.86795</v>
      </c>
      <c r="F157" s="65">
        <v>43364</v>
      </c>
      <c r="G157" s="65">
        <v>16186337.279449999</v>
      </c>
      <c r="H157" s="65">
        <v>14317</v>
      </c>
      <c r="I157" s="65">
        <v>6758344.523</v>
      </c>
      <c r="J157" s="65">
        <v>4220</v>
      </c>
      <c r="K157" s="65">
        <v>5961788.6675000004</v>
      </c>
      <c r="L157" s="65">
        <v>2213</v>
      </c>
      <c r="M157" s="65">
        <v>2839671.8149999999</v>
      </c>
      <c r="N157" s="65">
        <v>15533</v>
      </c>
      <c r="O157" s="65">
        <v>6160378.5829999996</v>
      </c>
    </row>
    <row r="158" spans="2:15" s="18" customFormat="1" ht="18" customHeight="1">
      <c r="B158" s="119"/>
      <c r="C158" s="16" t="s">
        <v>969</v>
      </c>
      <c r="D158" s="65">
        <v>59026</v>
      </c>
      <c r="E158" s="65">
        <v>32707626.615099996</v>
      </c>
      <c r="F158" s="65">
        <v>34876</v>
      </c>
      <c r="G158" s="65">
        <v>16902982.567699999</v>
      </c>
      <c r="H158" s="65">
        <v>11998</v>
      </c>
      <c r="I158" s="65">
        <v>5975058.8184000002</v>
      </c>
      <c r="J158" s="65">
        <v>2726</v>
      </c>
      <c r="K158" s="65">
        <v>4583417.8435000004</v>
      </c>
      <c r="L158" s="65">
        <v>1293</v>
      </c>
      <c r="M158" s="65">
        <v>1634130.0702</v>
      </c>
      <c r="N158" s="65">
        <v>8133</v>
      </c>
      <c r="O158" s="65">
        <v>3612037.3152999999</v>
      </c>
    </row>
    <row r="159" spans="2:15" s="18" customFormat="1" ht="18" customHeight="1">
      <c r="B159" s="119"/>
      <c r="C159" s="16" t="s">
        <v>970</v>
      </c>
      <c r="D159" s="65">
        <v>276734</v>
      </c>
      <c r="E159" s="65">
        <v>38831903.547600001</v>
      </c>
      <c r="F159" s="65">
        <v>228842</v>
      </c>
      <c r="G159" s="65">
        <v>19472619.932300001</v>
      </c>
      <c r="H159" s="65">
        <v>25828</v>
      </c>
      <c r="I159" s="65">
        <v>6399416.7312000003</v>
      </c>
      <c r="J159" s="65">
        <v>3252</v>
      </c>
      <c r="K159" s="65">
        <v>6452092.4210000001</v>
      </c>
      <c r="L159" s="65">
        <v>3059</v>
      </c>
      <c r="M159" s="65">
        <v>3210638.1434999998</v>
      </c>
      <c r="N159" s="65">
        <v>15753</v>
      </c>
      <c r="O159" s="65">
        <v>3297136.3196</v>
      </c>
    </row>
    <row r="160" spans="2:15" s="18" customFormat="1" ht="18" customHeight="1">
      <c r="B160" s="119"/>
      <c r="C160" s="16" t="s">
        <v>918</v>
      </c>
      <c r="D160" s="65">
        <v>47198</v>
      </c>
      <c r="E160" s="65">
        <v>6087418.4356000004</v>
      </c>
      <c r="F160" s="65">
        <v>37901</v>
      </c>
      <c r="G160" s="65">
        <v>2907551.0531000001</v>
      </c>
      <c r="H160" s="65">
        <v>4467</v>
      </c>
      <c r="I160" s="65">
        <v>673434.35400000005</v>
      </c>
      <c r="J160" s="65">
        <v>644</v>
      </c>
      <c r="K160" s="65">
        <v>604394.05099999998</v>
      </c>
      <c r="L160" s="65">
        <v>959</v>
      </c>
      <c r="M160" s="65">
        <v>969274.5405</v>
      </c>
      <c r="N160" s="65">
        <v>3227</v>
      </c>
      <c r="O160" s="65">
        <v>932764.43700000003</v>
      </c>
    </row>
    <row r="161" spans="2:15" s="18" customFormat="1" ht="18" customHeight="1">
      <c r="B161" s="119" t="s">
        <v>984</v>
      </c>
      <c r="C161" s="14" t="s">
        <v>917</v>
      </c>
      <c r="D161" s="64">
        <v>189336</v>
      </c>
      <c r="E161" s="64">
        <v>59414425.869260006</v>
      </c>
      <c r="F161" s="64">
        <v>114852</v>
      </c>
      <c r="G161" s="64">
        <v>25424249.877659999</v>
      </c>
      <c r="H161" s="64">
        <v>32688</v>
      </c>
      <c r="I161" s="64">
        <v>19920379.1274</v>
      </c>
      <c r="J161" s="64">
        <v>1025</v>
      </c>
      <c r="K161" s="64">
        <v>849633.85049999994</v>
      </c>
      <c r="L161" s="64">
        <v>4332</v>
      </c>
      <c r="M161" s="64">
        <v>5540625.5717000002</v>
      </c>
      <c r="N161" s="64">
        <v>36439</v>
      </c>
      <c r="O161" s="64">
        <v>7679537.4420000007</v>
      </c>
    </row>
    <row r="162" spans="2:15" s="18" customFormat="1" ht="18" customHeight="1">
      <c r="B162" s="119"/>
      <c r="C162" s="16" t="s">
        <v>964</v>
      </c>
      <c r="D162" s="65">
        <v>45858</v>
      </c>
      <c r="E162" s="65">
        <v>21265854.623660002</v>
      </c>
      <c r="F162" s="65">
        <v>28052</v>
      </c>
      <c r="G162" s="65">
        <v>8814056.2587599996</v>
      </c>
      <c r="H162" s="65">
        <v>9850</v>
      </c>
      <c r="I162" s="65">
        <v>9201727.1001999993</v>
      </c>
      <c r="J162" s="65">
        <v>152</v>
      </c>
      <c r="K162" s="65">
        <v>217789.758</v>
      </c>
      <c r="L162" s="65">
        <v>901</v>
      </c>
      <c r="M162" s="65">
        <v>1054589.5027000001</v>
      </c>
      <c r="N162" s="65">
        <v>6903</v>
      </c>
      <c r="O162" s="65">
        <v>1977692.004</v>
      </c>
    </row>
    <row r="163" spans="2:15" s="18" customFormat="1" ht="18" customHeight="1">
      <c r="B163" s="119"/>
      <c r="C163" s="16" t="s">
        <v>965</v>
      </c>
      <c r="D163" s="65">
        <v>15563</v>
      </c>
      <c r="E163" s="65">
        <v>7567638.7072000001</v>
      </c>
      <c r="F163" s="65">
        <v>7831</v>
      </c>
      <c r="G163" s="65">
        <v>3387564.9042000002</v>
      </c>
      <c r="H163" s="65">
        <v>3982</v>
      </c>
      <c r="I163" s="65">
        <v>2320438.8075999999</v>
      </c>
      <c r="J163" s="65">
        <v>127</v>
      </c>
      <c r="K163" s="65">
        <v>161942.0735</v>
      </c>
      <c r="L163" s="65">
        <v>642</v>
      </c>
      <c r="M163" s="65">
        <v>852935.62</v>
      </c>
      <c r="N163" s="65">
        <v>2981</v>
      </c>
      <c r="O163" s="65">
        <v>844757.30189999996</v>
      </c>
    </row>
    <row r="164" spans="2:15" s="18" customFormat="1" ht="18" customHeight="1">
      <c r="B164" s="119"/>
      <c r="C164" s="16" t="s">
        <v>966</v>
      </c>
      <c r="D164" s="65">
        <v>9752</v>
      </c>
      <c r="E164" s="65">
        <v>4644691.5143999998</v>
      </c>
      <c r="F164" s="65">
        <v>3861</v>
      </c>
      <c r="G164" s="65">
        <v>1575949.2267</v>
      </c>
      <c r="H164" s="65">
        <v>2880</v>
      </c>
      <c r="I164" s="65">
        <v>1435834.1362999999</v>
      </c>
      <c r="J164" s="65">
        <v>94</v>
      </c>
      <c r="K164" s="65">
        <v>87013.982000000004</v>
      </c>
      <c r="L164" s="65">
        <v>589</v>
      </c>
      <c r="M164" s="65">
        <v>793737.82499999995</v>
      </c>
      <c r="N164" s="65">
        <v>2328</v>
      </c>
      <c r="O164" s="65">
        <v>752156.34439999994</v>
      </c>
    </row>
    <row r="165" spans="2:15" s="18" customFormat="1" ht="18" customHeight="1">
      <c r="B165" s="119"/>
      <c r="C165" s="16" t="s">
        <v>967</v>
      </c>
      <c r="D165" s="65">
        <v>14676</v>
      </c>
      <c r="E165" s="65">
        <v>6576406.033400001</v>
      </c>
      <c r="F165" s="65">
        <v>8288</v>
      </c>
      <c r="G165" s="65">
        <v>3181911.1743000001</v>
      </c>
      <c r="H165" s="65">
        <v>3581</v>
      </c>
      <c r="I165" s="65">
        <v>1930983.5490999999</v>
      </c>
      <c r="J165" s="65">
        <v>122</v>
      </c>
      <c r="K165" s="65">
        <v>90917.78</v>
      </c>
      <c r="L165" s="65">
        <v>542</v>
      </c>
      <c r="M165" s="65">
        <v>696746.05299999996</v>
      </c>
      <c r="N165" s="65">
        <v>2143</v>
      </c>
      <c r="O165" s="65">
        <v>675847.47699999996</v>
      </c>
    </row>
    <row r="166" spans="2:15" s="18" customFormat="1" ht="18" customHeight="1">
      <c r="B166" s="119"/>
      <c r="C166" s="16" t="s">
        <v>968</v>
      </c>
      <c r="D166" s="65">
        <v>21164</v>
      </c>
      <c r="E166" s="65">
        <v>5533383.6022000005</v>
      </c>
      <c r="F166" s="65">
        <v>8789</v>
      </c>
      <c r="G166" s="65">
        <v>2102104.4084000001</v>
      </c>
      <c r="H166" s="65">
        <v>3061</v>
      </c>
      <c r="I166" s="65">
        <v>1415680.1539</v>
      </c>
      <c r="J166" s="65">
        <v>149</v>
      </c>
      <c r="K166" s="65">
        <v>98784.292000000001</v>
      </c>
      <c r="L166" s="65">
        <v>443</v>
      </c>
      <c r="M166" s="65">
        <v>514931.821</v>
      </c>
      <c r="N166" s="65">
        <v>8722</v>
      </c>
      <c r="O166" s="65">
        <v>1401882.9269000001</v>
      </c>
    </row>
    <row r="167" spans="2:15" s="18" customFormat="1" ht="18" customHeight="1">
      <c r="B167" s="119"/>
      <c r="C167" s="16" t="s">
        <v>969</v>
      </c>
      <c r="D167" s="65">
        <v>15825</v>
      </c>
      <c r="E167" s="65">
        <v>5343304.0151000004</v>
      </c>
      <c r="F167" s="65">
        <v>8719</v>
      </c>
      <c r="G167" s="65">
        <v>2437004.2812999999</v>
      </c>
      <c r="H167" s="65">
        <v>2598</v>
      </c>
      <c r="I167" s="65">
        <v>1499631.723</v>
      </c>
      <c r="J167" s="65">
        <v>135</v>
      </c>
      <c r="K167" s="65">
        <v>109779.345</v>
      </c>
      <c r="L167" s="65">
        <v>332</v>
      </c>
      <c r="M167" s="65">
        <v>427660.38699999999</v>
      </c>
      <c r="N167" s="65">
        <v>4041</v>
      </c>
      <c r="O167" s="65">
        <v>869228.27879999997</v>
      </c>
    </row>
    <row r="168" spans="2:15" s="18" customFormat="1" ht="18" customHeight="1">
      <c r="B168" s="119"/>
      <c r="C168" s="16" t="s">
        <v>970</v>
      </c>
      <c r="D168" s="65">
        <v>54598</v>
      </c>
      <c r="E168" s="65">
        <v>7402847.0790999997</v>
      </c>
      <c r="F168" s="65">
        <v>39664</v>
      </c>
      <c r="G168" s="65">
        <v>3350588.0419999999</v>
      </c>
      <c r="H168" s="65">
        <v>5778</v>
      </c>
      <c r="I168" s="65">
        <v>1968610.1740999999</v>
      </c>
      <c r="J168" s="65">
        <v>190</v>
      </c>
      <c r="K168" s="65">
        <v>75271.539999999994</v>
      </c>
      <c r="L168" s="65">
        <v>652</v>
      </c>
      <c r="M168" s="65">
        <v>981933.06299999997</v>
      </c>
      <c r="N168" s="65">
        <v>8314</v>
      </c>
      <c r="O168" s="65">
        <v>1026444.26</v>
      </c>
    </row>
    <row r="169" spans="2:15" s="18" customFormat="1" ht="18" customHeight="1">
      <c r="B169" s="119"/>
      <c r="C169" s="16" t="s">
        <v>918</v>
      </c>
      <c r="D169" s="65">
        <v>11900</v>
      </c>
      <c r="E169" s="65">
        <v>1080300.2941999999</v>
      </c>
      <c r="F169" s="65">
        <v>9648</v>
      </c>
      <c r="G169" s="65">
        <v>575071.58200000005</v>
      </c>
      <c r="H169" s="65">
        <v>958</v>
      </c>
      <c r="I169" s="65">
        <v>147473.48319999999</v>
      </c>
      <c r="J169" s="65">
        <v>56</v>
      </c>
      <c r="K169" s="65">
        <v>8135.08</v>
      </c>
      <c r="L169" s="65">
        <v>231</v>
      </c>
      <c r="M169" s="65">
        <v>218091.3</v>
      </c>
      <c r="N169" s="65">
        <v>1007</v>
      </c>
      <c r="O169" s="65">
        <v>131528.84899999999</v>
      </c>
    </row>
  </sheetData>
  <mergeCells count="25">
    <mergeCell ref="B161:B169"/>
    <mergeCell ref="B89:B97"/>
    <mergeCell ref="B98:B106"/>
    <mergeCell ref="B107:B115"/>
    <mergeCell ref="B116:B124"/>
    <mergeCell ref="B125:B133"/>
    <mergeCell ref="B134:B142"/>
    <mergeCell ref="B143:B151"/>
    <mergeCell ref="B152:B160"/>
    <mergeCell ref="N6:O6"/>
    <mergeCell ref="B8:B16"/>
    <mergeCell ref="F6:G6"/>
    <mergeCell ref="H6:I6"/>
    <mergeCell ref="J6:K6"/>
    <mergeCell ref="B6:C7"/>
    <mergeCell ref="B80:B88"/>
    <mergeCell ref="D6:E6"/>
    <mergeCell ref="B35:B43"/>
    <mergeCell ref="B44:B52"/>
    <mergeCell ref="L6:M6"/>
    <mergeCell ref="B17:B25"/>
    <mergeCell ref="B26:B34"/>
    <mergeCell ref="B53:B61"/>
    <mergeCell ref="B62:B70"/>
    <mergeCell ref="B71:B79"/>
  </mergeCells>
  <phoneticPr fontId="8" type="noConversion"/>
  <pageMargins left="0.7" right="0.7" top="0.75" bottom="0.75" header="0.3" footer="0.3"/>
  <pageSetup paperSize="9" scale="5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255"/>
  <sheetViews>
    <sheetView view="pageBreakPreview" zoomScaleSheetLayoutView="100" workbookViewId="0">
      <selection activeCell="B1" sqref="B1"/>
    </sheetView>
  </sheetViews>
  <sheetFormatPr defaultColWidth="9" defaultRowHeight="18" customHeight="1"/>
  <cols>
    <col min="1" max="1" width="2.625" style="37" customWidth="1"/>
    <col min="2" max="2" width="19" style="37" customWidth="1"/>
    <col min="3" max="3" width="27.875" style="37" customWidth="1"/>
    <col min="4" max="4" width="22.25" style="37" customWidth="1"/>
    <col min="5" max="5" width="20.375" style="37" customWidth="1"/>
    <col min="6" max="6" width="20.75" style="37" customWidth="1"/>
    <col min="7" max="7" width="22.25" style="37" customWidth="1"/>
    <col min="8" max="9" width="20.75" style="37" customWidth="1"/>
    <col min="10" max="16384" width="9" style="37"/>
  </cols>
  <sheetData>
    <row r="1" spans="1:9" ht="30" customHeight="1">
      <c r="A1" s="25" t="s">
        <v>1555</v>
      </c>
      <c r="B1" s="36"/>
      <c r="C1" s="36"/>
      <c r="D1" s="36"/>
      <c r="E1" s="36"/>
      <c r="F1" s="36"/>
      <c r="G1" s="36"/>
      <c r="H1" s="36"/>
    </row>
    <row r="2" spans="1:9" ht="18" customHeight="1">
      <c r="A2" s="26" t="s">
        <v>1561</v>
      </c>
      <c r="B2" s="36"/>
      <c r="C2" s="36"/>
      <c r="D2" s="36"/>
      <c r="E2" s="36"/>
      <c r="F2" s="36"/>
      <c r="G2" s="36"/>
      <c r="H2" s="36"/>
    </row>
    <row r="3" spans="1:9" ht="18" customHeight="1">
      <c r="D3" s="42"/>
      <c r="E3" s="42"/>
      <c r="G3" s="42"/>
      <c r="H3" s="42"/>
      <c r="I3" s="11" t="s">
        <v>1540</v>
      </c>
    </row>
    <row r="4" spans="1:9" ht="18" customHeight="1">
      <c r="B4" s="120" t="s">
        <v>15</v>
      </c>
      <c r="C4" s="120" t="s">
        <v>1022</v>
      </c>
      <c r="D4" s="115" t="s">
        <v>1024</v>
      </c>
      <c r="E4" s="122"/>
      <c r="F4" s="116"/>
      <c r="G4" s="115" t="s">
        <v>1025</v>
      </c>
      <c r="H4" s="122"/>
      <c r="I4" s="116"/>
    </row>
    <row r="5" spans="1:9" ht="18" customHeight="1">
      <c r="B5" s="121"/>
      <c r="C5" s="121"/>
      <c r="D5" s="78" t="s">
        <v>867</v>
      </c>
      <c r="E5" s="128" t="s">
        <v>1560</v>
      </c>
      <c r="F5" s="97" t="s">
        <v>1041</v>
      </c>
      <c r="G5" s="78" t="s">
        <v>867</v>
      </c>
      <c r="H5" s="128" t="s">
        <v>1560</v>
      </c>
      <c r="I5" s="97" t="s">
        <v>1041</v>
      </c>
    </row>
    <row r="6" spans="1:9" ht="18" customHeight="1">
      <c r="B6" s="66" t="s">
        <v>1048</v>
      </c>
      <c r="C6" s="66" t="s">
        <v>1065</v>
      </c>
      <c r="D6" s="67">
        <v>19667795.736699998</v>
      </c>
      <c r="E6" s="67">
        <v>8970552.7443000004</v>
      </c>
      <c r="F6" s="68">
        <f t="shared" ref="F6:F69" si="0">E6/D6</f>
        <v>0.45610361549367723</v>
      </c>
      <c r="G6" s="67">
        <v>5067119.8163000001</v>
      </c>
      <c r="H6" s="67">
        <v>1664178.16</v>
      </c>
      <c r="I6" s="68">
        <f t="shared" ref="I6:I69" si="1">H6/G6</f>
        <v>0.32842684213754769</v>
      </c>
    </row>
    <row r="7" spans="1:9" ht="18" customHeight="1">
      <c r="B7" s="66" t="s">
        <v>1048</v>
      </c>
      <c r="C7" s="66" t="s">
        <v>1066</v>
      </c>
      <c r="D7" s="67">
        <v>22465284.278900001</v>
      </c>
      <c r="E7" s="67">
        <v>9888314.4971999992</v>
      </c>
      <c r="F7" s="68">
        <f t="shared" si="0"/>
        <v>0.4401597760544419</v>
      </c>
      <c r="G7" s="67">
        <v>4577012.0356999999</v>
      </c>
      <c r="H7" s="67">
        <v>1094010.5732</v>
      </c>
      <c r="I7" s="68">
        <f t="shared" si="1"/>
        <v>0.2390228744575901</v>
      </c>
    </row>
    <row r="8" spans="1:9" ht="18" customHeight="1">
      <c r="B8" s="66" t="s">
        <v>1048</v>
      </c>
      <c r="C8" s="66" t="s">
        <v>1067</v>
      </c>
      <c r="D8" s="67">
        <v>17734347.0174</v>
      </c>
      <c r="E8" s="67">
        <v>6522356.4680000003</v>
      </c>
      <c r="F8" s="68">
        <f t="shared" si="0"/>
        <v>0.36778103313308408</v>
      </c>
      <c r="G8" s="67">
        <v>8877857.1801999994</v>
      </c>
      <c r="H8" s="67">
        <v>3171784.423</v>
      </c>
      <c r="I8" s="68">
        <f t="shared" si="1"/>
        <v>0.35726914261179255</v>
      </c>
    </row>
    <row r="9" spans="1:9" ht="18" customHeight="1">
      <c r="B9" s="66" t="s">
        <v>1048</v>
      </c>
      <c r="C9" s="66" t="s">
        <v>1068</v>
      </c>
      <c r="D9" s="67">
        <v>19934801.529399998</v>
      </c>
      <c r="E9" s="67">
        <v>5319703.7549999999</v>
      </c>
      <c r="F9" s="68">
        <f t="shared" si="0"/>
        <v>0.26685511501854986</v>
      </c>
      <c r="G9" s="67">
        <v>9364345.4648000002</v>
      </c>
      <c r="H9" s="67">
        <v>2584260.8969999999</v>
      </c>
      <c r="I9" s="68">
        <f t="shared" si="1"/>
        <v>0.27596812897538625</v>
      </c>
    </row>
    <row r="10" spans="1:9" ht="18" customHeight="1">
      <c r="B10" s="66" t="s">
        <v>1048</v>
      </c>
      <c r="C10" s="66" t="s">
        <v>1069</v>
      </c>
      <c r="D10" s="67">
        <v>17097832.8948</v>
      </c>
      <c r="E10" s="67">
        <v>5937988.1679999996</v>
      </c>
      <c r="F10" s="68">
        <f t="shared" si="0"/>
        <v>0.34729478317722551</v>
      </c>
      <c r="G10" s="67">
        <v>9971910.4849999994</v>
      </c>
      <c r="H10" s="67">
        <v>3302419.7039999999</v>
      </c>
      <c r="I10" s="68">
        <f t="shared" si="1"/>
        <v>0.33117221709597006</v>
      </c>
    </row>
    <row r="11" spans="1:9" ht="18" customHeight="1">
      <c r="B11" s="66" t="s">
        <v>1048</v>
      </c>
      <c r="C11" s="66" t="s">
        <v>1070</v>
      </c>
      <c r="D11" s="67">
        <v>19004726.004000001</v>
      </c>
      <c r="E11" s="67">
        <v>6301304.3569</v>
      </c>
      <c r="F11" s="68">
        <f t="shared" si="0"/>
        <v>0.33156512519958137</v>
      </c>
      <c r="G11" s="67">
        <v>10433954.4092</v>
      </c>
      <c r="H11" s="67">
        <v>2767343.4119000002</v>
      </c>
      <c r="I11" s="68">
        <f t="shared" si="1"/>
        <v>0.26522479429850032</v>
      </c>
    </row>
    <row r="12" spans="1:9" ht="18" customHeight="1">
      <c r="B12" s="66" t="s">
        <v>1048</v>
      </c>
      <c r="C12" s="66" t="s">
        <v>1071</v>
      </c>
      <c r="D12" s="67">
        <v>22167194.925000001</v>
      </c>
      <c r="E12" s="67">
        <v>5418116.3760000002</v>
      </c>
      <c r="F12" s="68">
        <f t="shared" si="0"/>
        <v>0.24442047784266507</v>
      </c>
      <c r="G12" s="67">
        <v>14191794.715700001</v>
      </c>
      <c r="H12" s="67">
        <v>3464884.6009999998</v>
      </c>
      <c r="I12" s="68">
        <f t="shared" si="1"/>
        <v>0.24414703498824508</v>
      </c>
    </row>
    <row r="13" spans="1:9" ht="18" customHeight="1">
      <c r="B13" s="66" t="s">
        <v>1048</v>
      </c>
      <c r="C13" s="66" t="s">
        <v>1072</v>
      </c>
      <c r="D13" s="67">
        <v>21591756.2447</v>
      </c>
      <c r="E13" s="67">
        <v>5614063.3399999999</v>
      </c>
      <c r="F13" s="68">
        <f t="shared" si="0"/>
        <v>0.26000957385659867</v>
      </c>
      <c r="G13" s="67">
        <v>14285215.7611</v>
      </c>
      <c r="H13" s="67">
        <v>3129073.42</v>
      </c>
      <c r="I13" s="68">
        <f t="shared" si="1"/>
        <v>0.21904278327533311</v>
      </c>
    </row>
    <row r="14" spans="1:9" ht="18" customHeight="1">
      <c r="B14" s="66" t="s">
        <v>1048</v>
      </c>
      <c r="C14" s="66" t="s">
        <v>1073</v>
      </c>
      <c r="D14" s="67">
        <v>12826475.894200001</v>
      </c>
      <c r="E14" s="67">
        <v>5127326.7116999999</v>
      </c>
      <c r="F14" s="68">
        <f t="shared" si="0"/>
        <v>0.39974555396143718</v>
      </c>
      <c r="G14" s="67">
        <v>8561701.1467000004</v>
      </c>
      <c r="H14" s="67">
        <v>3328256.7297</v>
      </c>
      <c r="I14" s="68">
        <f t="shared" si="1"/>
        <v>0.38873778384367391</v>
      </c>
    </row>
    <row r="15" spans="1:9" ht="18" customHeight="1">
      <c r="B15" s="66" t="s">
        <v>1048</v>
      </c>
      <c r="C15" s="66" t="s">
        <v>1074</v>
      </c>
      <c r="D15" s="67">
        <v>15932859.772399999</v>
      </c>
      <c r="E15" s="67">
        <v>5999687.6648000004</v>
      </c>
      <c r="F15" s="68">
        <f t="shared" si="0"/>
        <v>0.37656062693736086</v>
      </c>
      <c r="G15" s="67">
        <v>10149853.8727</v>
      </c>
      <c r="H15" s="67">
        <v>4391814.6398</v>
      </c>
      <c r="I15" s="68">
        <f t="shared" si="1"/>
        <v>0.43269732696473956</v>
      </c>
    </row>
    <row r="16" spans="1:9" ht="18" customHeight="1">
      <c r="B16" s="66" t="s">
        <v>1048</v>
      </c>
      <c r="C16" s="66" t="s">
        <v>1075</v>
      </c>
      <c r="D16" s="67">
        <v>22673444.475099999</v>
      </c>
      <c r="E16" s="67">
        <v>10702769.596999999</v>
      </c>
      <c r="F16" s="68">
        <f t="shared" si="0"/>
        <v>0.47203986181957452</v>
      </c>
      <c r="G16" s="67">
        <v>15807225.298599999</v>
      </c>
      <c r="H16" s="67">
        <v>7956595.5319999997</v>
      </c>
      <c r="I16" s="68">
        <f t="shared" si="1"/>
        <v>0.50335181423046416</v>
      </c>
    </row>
    <row r="17" spans="2:9" ht="18" customHeight="1">
      <c r="B17" s="66" t="s">
        <v>1048</v>
      </c>
      <c r="C17" s="66" t="s">
        <v>1076</v>
      </c>
      <c r="D17" s="67">
        <v>20812059.968499999</v>
      </c>
      <c r="E17" s="67">
        <v>5486688.6569999997</v>
      </c>
      <c r="F17" s="68">
        <f t="shared" si="0"/>
        <v>0.26363025405963431</v>
      </c>
      <c r="G17" s="67">
        <v>14383416.747199999</v>
      </c>
      <c r="H17" s="67">
        <v>3645033.1069999998</v>
      </c>
      <c r="I17" s="68">
        <f t="shared" si="1"/>
        <v>0.25341914032419133</v>
      </c>
    </row>
    <row r="18" spans="2:9" ht="18" customHeight="1">
      <c r="B18" s="66" t="s">
        <v>1048</v>
      </c>
      <c r="C18" s="66" t="s">
        <v>1077</v>
      </c>
      <c r="D18" s="67">
        <v>17375395.834199999</v>
      </c>
      <c r="E18" s="67">
        <v>5625835.5180000002</v>
      </c>
      <c r="F18" s="68">
        <f t="shared" si="0"/>
        <v>0.32378171822288304</v>
      </c>
      <c r="G18" s="67">
        <v>10043799.288899999</v>
      </c>
      <c r="H18" s="67">
        <v>2917639.8829999999</v>
      </c>
      <c r="I18" s="68">
        <f t="shared" si="1"/>
        <v>0.29049165550574646</v>
      </c>
    </row>
    <row r="19" spans="2:9" ht="18" customHeight="1">
      <c r="B19" s="66" t="s">
        <v>1048</v>
      </c>
      <c r="C19" s="66" t="s">
        <v>1078</v>
      </c>
      <c r="D19" s="67">
        <v>24164398.054200001</v>
      </c>
      <c r="E19" s="67">
        <v>5630544.5640000002</v>
      </c>
      <c r="F19" s="68">
        <f t="shared" si="0"/>
        <v>0.23300992440907745</v>
      </c>
      <c r="G19" s="67">
        <v>11835981.7567</v>
      </c>
      <c r="H19" s="67">
        <v>2515648.0049999999</v>
      </c>
      <c r="I19" s="68">
        <f t="shared" si="1"/>
        <v>0.2125424030478896</v>
      </c>
    </row>
    <row r="20" spans="2:9" ht="18" customHeight="1">
      <c r="B20" s="66" t="s">
        <v>1048</v>
      </c>
      <c r="C20" s="66" t="s">
        <v>1079</v>
      </c>
      <c r="D20" s="67">
        <v>21271340.9454</v>
      </c>
      <c r="E20" s="67">
        <v>7767337.7450000001</v>
      </c>
      <c r="F20" s="68">
        <f t="shared" si="0"/>
        <v>0.36515505839229723</v>
      </c>
      <c r="G20" s="67">
        <v>14485764.950999999</v>
      </c>
      <c r="H20" s="67">
        <v>5296915.5839999998</v>
      </c>
      <c r="I20" s="68">
        <f t="shared" si="1"/>
        <v>0.36566350495935229</v>
      </c>
    </row>
    <row r="21" spans="2:9" ht="18" customHeight="1">
      <c r="B21" s="66" t="s">
        <v>1048</v>
      </c>
      <c r="C21" s="66" t="s">
        <v>1080</v>
      </c>
      <c r="D21" s="67">
        <v>35135562.999700002</v>
      </c>
      <c r="E21" s="67">
        <v>8349356.2050000001</v>
      </c>
      <c r="F21" s="68">
        <f t="shared" si="0"/>
        <v>0.23763262894268378</v>
      </c>
      <c r="G21" s="67">
        <v>17782493.066300001</v>
      </c>
      <c r="H21" s="67">
        <v>5096831.8909999998</v>
      </c>
      <c r="I21" s="68">
        <f t="shared" si="1"/>
        <v>0.28662077201419633</v>
      </c>
    </row>
    <row r="22" spans="2:9" ht="18" customHeight="1">
      <c r="B22" s="66" t="s">
        <v>1048</v>
      </c>
      <c r="C22" s="66" t="s">
        <v>1081</v>
      </c>
      <c r="D22" s="67">
        <v>23500556.495999999</v>
      </c>
      <c r="E22" s="67">
        <v>5553214.3810000001</v>
      </c>
      <c r="F22" s="68">
        <f t="shared" si="0"/>
        <v>0.2363013991581521</v>
      </c>
      <c r="G22" s="67">
        <v>12656211.096100001</v>
      </c>
      <c r="H22" s="67">
        <v>3274878.3530000001</v>
      </c>
      <c r="I22" s="68">
        <f t="shared" si="1"/>
        <v>0.25875661587290927</v>
      </c>
    </row>
    <row r="23" spans="2:9" ht="18" customHeight="1">
      <c r="B23" s="66" t="s">
        <v>1048</v>
      </c>
      <c r="C23" s="66" t="s">
        <v>1082</v>
      </c>
      <c r="D23" s="67">
        <v>18124279.9978</v>
      </c>
      <c r="E23" s="67">
        <v>4127247.7609999999</v>
      </c>
      <c r="F23" s="68">
        <f t="shared" si="0"/>
        <v>0.22771926727577493</v>
      </c>
      <c r="G23" s="67">
        <v>6594469.7043000003</v>
      </c>
      <c r="H23" s="67">
        <v>2215863.6749999998</v>
      </c>
      <c r="I23" s="68">
        <f t="shared" si="1"/>
        <v>0.33601847826446457</v>
      </c>
    </row>
    <row r="24" spans="2:9" ht="18" customHeight="1">
      <c r="B24" s="66" t="s">
        <v>1048</v>
      </c>
      <c r="C24" s="66" t="s">
        <v>1083</v>
      </c>
      <c r="D24" s="67">
        <v>30690561.333900001</v>
      </c>
      <c r="E24" s="67">
        <v>11398152.685000001</v>
      </c>
      <c r="F24" s="68">
        <f t="shared" si="0"/>
        <v>0.37138951487374378</v>
      </c>
      <c r="G24" s="67">
        <v>11847684.870300001</v>
      </c>
      <c r="H24" s="67">
        <v>4254251.415</v>
      </c>
      <c r="I24" s="68">
        <f t="shared" si="1"/>
        <v>0.35907871129022323</v>
      </c>
    </row>
    <row r="25" spans="2:9" ht="18" customHeight="1">
      <c r="B25" s="66" t="s">
        <v>1048</v>
      </c>
      <c r="C25" s="66" t="s">
        <v>1084</v>
      </c>
      <c r="D25" s="67">
        <v>18443002.200800002</v>
      </c>
      <c r="E25" s="67">
        <v>5987721.2939999998</v>
      </c>
      <c r="F25" s="68">
        <f t="shared" si="0"/>
        <v>0.32466087835419066</v>
      </c>
      <c r="G25" s="67">
        <v>12197939.8939</v>
      </c>
      <c r="H25" s="67">
        <v>3908920.139</v>
      </c>
      <c r="I25" s="68">
        <f t="shared" si="1"/>
        <v>0.32045740288938385</v>
      </c>
    </row>
    <row r="26" spans="2:9" ht="18" customHeight="1">
      <c r="B26" s="66" t="s">
        <v>1048</v>
      </c>
      <c r="C26" s="66" t="s">
        <v>1085</v>
      </c>
      <c r="D26" s="67">
        <v>22776557.025199998</v>
      </c>
      <c r="E26" s="67">
        <v>6549738.6069999998</v>
      </c>
      <c r="F26" s="68">
        <f t="shared" si="0"/>
        <v>0.28756491157787212</v>
      </c>
      <c r="G26" s="67">
        <v>12691216.203</v>
      </c>
      <c r="H26" s="67">
        <v>3713653.68</v>
      </c>
      <c r="I26" s="68">
        <f t="shared" si="1"/>
        <v>0.29261605984792477</v>
      </c>
    </row>
    <row r="27" spans="2:9" ht="18" customHeight="1">
      <c r="B27" s="66" t="s">
        <v>1048</v>
      </c>
      <c r="C27" s="66" t="s">
        <v>1086</v>
      </c>
      <c r="D27" s="67">
        <v>33810163.182499997</v>
      </c>
      <c r="E27" s="67">
        <v>10246540.213300001</v>
      </c>
      <c r="F27" s="68">
        <f t="shared" si="0"/>
        <v>0.30306095116995968</v>
      </c>
      <c r="G27" s="67">
        <v>15467036.4088</v>
      </c>
      <c r="H27" s="67">
        <v>3755622.9693</v>
      </c>
      <c r="I27" s="68">
        <f t="shared" si="1"/>
        <v>0.2428146459371642</v>
      </c>
    </row>
    <row r="28" spans="2:9" ht="18" customHeight="1">
      <c r="B28" s="66" t="s">
        <v>1048</v>
      </c>
      <c r="C28" s="66" t="s">
        <v>1087</v>
      </c>
      <c r="D28" s="67">
        <v>50800716.181199998</v>
      </c>
      <c r="E28" s="67">
        <v>17825725.195999999</v>
      </c>
      <c r="F28" s="68">
        <f t="shared" si="0"/>
        <v>0.35089515534422383</v>
      </c>
      <c r="G28" s="67">
        <v>20888178.153000001</v>
      </c>
      <c r="H28" s="67">
        <v>7228739.2000000002</v>
      </c>
      <c r="I28" s="68">
        <f t="shared" si="1"/>
        <v>0.34606843866667208</v>
      </c>
    </row>
    <row r="29" spans="2:9" ht="18" customHeight="1">
      <c r="B29" s="66" t="s">
        <v>1048</v>
      </c>
      <c r="C29" s="66" t="s">
        <v>1088</v>
      </c>
      <c r="D29" s="67">
        <v>40278442.860600002</v>
      </c>
      <c r="E29" s="67">
        <v>13987059.440300001</v>
      </c>
      <c r="F29" s="68">
        <f t="shared" si="0"/>
        <v>0.34725918995200317</v>
      </c>
      <c r="G29" s="67">
        <v>21473047.1283</v>
      </c>
      <c r="H29" s="67">
        <v>6862005.4758000001</v>
      </c>
      <c r="I29" s="68">
        <f t="shared" si="1"/>
        <v>0.31956365739803871</v>
      </c>
    </row>
    <row r="30" spans="2:9" ht="18" customHeight="1">
      <c r="B30" s="66" t="s">
        <v>1048</v>
      </c>
      <c r="C30" s="66" t="s">
        <v>1089</v>
      </c>
      <c r="D30" s="67">
        <v>25943760.855</v>
      </c>
      <c r="E30" s="67">
        <v>9970237.1928000003</v>
      </c>
      <c r="F30" s="68">
        <f t="shared" si="0"/>
        <v>0.38430192324558415</v>
      </c>
      <c r="G30" s="67">
        <v>14842862.184</v>
      </c>
      <c r="H30" s="67">
        <v>3538742.3668</v>
      </c>
      <c r="I30" s="68">
        <f t="shared" si="1"/>
        <v>0.23841374547118141</v>
      </c>
    </row>
    <row r="31" spans="2:9" ht="18" customHeight="1">
      <c r="B31" s="66" t="s">
        <v>1049</v>
      </c>
      <c r="C31" s="66" t="s">
        <v>1066</v>
      </c>
      <c r="D31" s="67">
        <v>4495797.9737</v>
      </c>
      <c r="E31" s="67">
        <v>1798772.6804</v>
      </c>
      <c r="F31" s="68">
        <f t="shared" si="0"/>
        <v>0.40010086995070793</v>
      </c>
      <c r="G31" s="67">
        <v>1252861.4243000001</v>
      </c>
      <c r="H31" s="67">
        <v>409272.70319999999</v>
      </c>
      <c r="I31" s="68">
        <f t="shared" si="1"/>
        <v>0.32667036853550602</v>
      </c>
    </row>
    <row r="32" spans="2:9" ht="18" customHeight="1">
      <c r="B32" s="66" t="s">
        <v>1049</v>
      </c>
      <c r="C32" s="66" t="s">
        <v>1090</v>
      </c>
      <c r="D32" s="67">
        <v>7675008.9505000003</v>
      </c>
      <c r="E32" s="67">
        <v>2670548.2370000002</v>
      </c>
      <c r="F32" s="68">
        <f t="shared" si="0"/>
        <v>0.34795376190747285</v>
      </c>
      <c r="G32" s="67">
        <v>3747952.0523999999</v>
      </c>
      <c r="H32" s="67">
        <v>1244796.5349999999</v>
      </c>
      <c r="I32" s="68">
        <f t="shared" si="1"/>
        <v>0.33212712371891068</v>
      </c>
    </row>
    <row r="33" spans="2:9" ht="18" customHeight="1">
      <c r="B33" s="66" t="s">
        <v>1049</v>
      </c>
      <c r="C33" s="66" t="s">
        <v>1091</v>
      </c>
      <c r="D33" s="67">
        <v>7029487.8843999999</v>
      </c>
      <c r="E33" s="67">
        <v>2998237.3834000002</v>
      </c>
      <c r="F33" s="68">
        <f t="shared" si="0"/>
        <v>0.42652287516616355</v>
      </c>
      <c r="G33" s="67">
        <v>2886978.8410999998</v>
      </c>
      <c r="H33" s="67">
        <v>1114928.1379</v>
      </c>
      <c r="I33" s="68">
        <f t="shared" si="1"/>
        <v>0.38619200183510483</v>
      </c>
    </row>
    <row r="34" spans="2:9" ht="18" customHeight="1">
      <c r="B34" s="66" t="s">
        <v>1049</v>
      </c>
      <c r="C34" s="66" t="s">
        <v>1092</v>
      </c>
      <c r="D34" s="67">
        <v>6815543.6791000003</v>
      </c>
      <c r="E34" s="67">
        <v>2650190.7990000001</v>
      </c>
      <c r="F34" s="68">
        <f t="shared" si="0"/>
        <v>0.38884510521543025</v>
      </c>
      <c r="G34" s="67">
        <v>3750190.1576999999</v>
      </c>
      <c r="H34" s="67">
        <v>1720553.5245000001</v>
      </c>
      <c r="I34" s="68">
        <f t="shared" si="1"/>
        <v>0.45879100849521171</v>
      </c>
    </row>
    <row r="35" spans="2:9" ht="18" customHeight="1">
      <c r="B35" s="66" t="s">
        <v>1049</v>
      </c>
      <c r="C35" s="66" t="s">
        <v>1093</v>
      </c>
      <c r="D35" s="67">
        <v>24724017.982099999</v>
      </c>
      <c r="E35" s="67">
        <v>7552341.2270999998</v>
      </c>
      <c r="F35" s="68">
        <f t="shared" si="0"/>
        <v>0.30546577148454745</v>
      </c>
      <c r="G35" s="67">
        <v>12647710.7809</v>
      </c>
      <c r="H35" s="67">
        <v>3817894.1568999998</v>
      </c>
      <c r="I35" s="68">
        <f t="shared" si="1"/>
        <v>0.30186444195621637</v>
      </c>
    </row>
    <row r="36" spans="2:9" ht="18" customHeight="1">
      <c r="B36" s="66" t="s">
        <v>1049</v>
      </c>
      <c r="C36" s="66" t="s">
        <v>1094</v>
      </c>
      <c r="D36" s="67">
        <v>19471793.973529998</v>
      </c>
      <c r="E36" s="67">
        <v>5740093.9661999997</v>
      </c>
      <c r="F36" s="68">
        <f t="shared" si="0"/>
        <v>0.2947901962193672</v>
      </c>
      <c r="G36" s="67">
        <v>10175385.66783</v>
      </c>
      <c r="H36" s="67">
        <v>3289432.3415000001</v>
      </c>
      <c r="I36" s="68">
        <f t="shared" si="1"/>
        <v>0.32327348062095651</v>
      </c>
    </row>
    <row r="37" spans="2:9" ht="18" customHeight="1">
      <c r="B37" s="66" t="s">
        <v>1049</v>
      </c>
      <c r="C37" s="66" t="s">
        <v>1095</v>
      </c>
      <c r="D37" s="67">
        <v>16693350.347100001</v>
      </c>
      <c r="E37" s="67">
        <v>4486097.2731999997</v>
      </c>
      <c r="F37" s="68">
        <f t="shared" si="0"/>
        <v>0.26873558512352991</v>
      </c>
      <c r="G37" s="67">
        <v>10052495.9725</v>
      </c>
      <c r="H37" s="67">
        <v>2458923.0636999998</v>
      </c>
      <c r="I37" s="68">
        <f t="shared" si="1"/>
        <v>0.24460821177414302</v>
      </c>
    </row>
    <row r="38" spans="2:9" ht="18" customHeight="1">
      <c r="B38" s="66" t="s">
        <v>1049</v>
      </c>
      <c r="C38" s="66" t="s">
        <v>1096</v>
      </c>
      <c r="D38" s="67">
        <v>15605464.586100001</v>
      </c>
      <c r="E38" s="67">
        <v>5004726.8257999998</v>
      </c>
      <c r="F38" s="68">
        <f t="shared" si="0"/>
        <v>0.32070348166742679</v>
      </c>
      <c r="G38" s="67">
        <v>10668944.570800001</v>
      </c>
      <c r="H38" s="67">
        <v>3405306.2230000002</v>
      </c>
      <c r="I38" s="68">
        <f t="shared" si="1"/>
        <v>0.31917929654635524</v>
      </c>
    </row>
    <row r="39" spans="2:9" ht="18" customHeight="1">
      <c r="B39" s="66" t="s">
        <v>1049</v>
      </c>
      <c r="C39" s="66" t="s">
        <v>1097</v>
      </c>
      <c r="D39" s="67">
        <v>36686124.961099997</v>
      </c>
      <c r="E39" s="67">
        <v>6247968.5608000001</v>
      </c>
      <c r="F39" s="68">
        <f t="shared" si="0"/>
        <v>0.17030876298396222</v>
      </c>
      <c r="G39" s="67">
        <v>15921352.455499999</v>
      </c>
      <c r="H39" s="67">
        <v>3624134.1516999998</v>
      </c>
      <c r="I39" s="68">
        <f t="shared" si="1"/>
        <v>0.22762727989531129</v>
      </c>
    </row>
    <row r="40" spans="2:9" ht="18" customHeight="1">
      <c r="B40" s="66" t="s">
        <v>1049</v>
      </c>
      <c r="C40" s="66" t="s">
        <v>1098</v>
      </c>
      <c r="D40" s="67">
        <v>20539845.822099999</v>
      </c>
      <c r="E40" s="67">
        <v>9431106.8657000009</v>
      </c>
      <c r="F40" s="68">
        <f t="shared" si="0"/>
        <v>0.45916152182371944</v>
      </c>
      <c r="G40" s="67">
        <v>11380145.025599999</v>
      </c>
      <c r="H40" s="67">
        <v>5214344.7593999999</v>
      </c>
      <c r="I40" s="68">
        <f t="shared" si="1"/>
        <v>0.4581966879745526</v>
      </c>
    </row>
    <row r="41" spans="2:9" ht="18" customHeight="1">
      <c r="B41" s="66" t="s">
        <v>1049</v>
      </c>
      <c r="C41" s="66" t="s">
        <v>1099</v>
      </c>
      <c r="D41" s="67">
        <v>14909165.211999999</v>
      </c>
      <c r="E41" s="67">
        <v>5418232.8460999997</v>
      </c>
      <c r="F41" s="68">
        <f t="shared" si="0"/>
        <v>0.36341624558154367</v>
      </c>
      <c r="G41" s="67">
        <v>8364715.2648</v>
      </c>
      <c r="H41" s="67">
        <v>2867727.3221</v>
      </c>
      <c r="I41" s="68">
        <f t="shared" si="1"/>
        <v>0.34283621513906576</v>
      </c>
    </row>
    <row r="42" spans="2:9" ht="18" customHeight="1">
      <c r="B42" s="66" t="s">
        <v>1049</v>
      </c>
      <c r="C42" s="66" t="s">
        <v>1080</v>
      </c>
      <c r="D42" s="67">
        <v>22325225.415899999</v>
      </c>
      <c r="E42" s="67">
        <v>969659.09</v>
      </c>
      <c r="F42" s="68">
        <f t="shared" si="0"/>
        <v>4.3433339280391316E-2</v>
      </c>
      <c r="G42" s="67">
        <v>5383120.4380000001</v>
      </c>
      <c r="H42" s="67">
        <v>358892.56800000003</v>
      </c>
      <c r="I42" s="68">
        <f t="shared" si="1"/>
        <v>6.666998669889318E-2</v>
      </c>
    </row>
    <row r="43" spans="2:9" ht="18" customHeight="1">
      <c r="B43" s="66" t="s">
        <v>1049</v>
      </c>
      <c r="C43" s="66" t="s">
        <v>1100</v>
      </c>
      <c r="D43" s="67">
        <v>13078771.9123</v>
      </c>
      <c r="E43" s="67">
        <v>4071082.304</v>
      </c>
      <c r="F43" s="68">
        <f t="shared" si="0"/>
        <v>0.31127405014008458</v>
      </c>
      <c r="G43" s="67">
        <v>7665675.9667999996</v>
      </c>
      <c r="H43" s="67">
        <v>2410075.1409999998</v>
      </c>
      <c r="I43" s="68">
        <f t="shared" si="1"/>
        <v>0.31439825417067224</v>
      </c>
    </row>
    <row r="44" spans="2:9" ht="18" customHeight="1">
      <c r="B44" s="66" t="s">
        <v>1049</v>
      </c>
      <c r="C44" s="66" t="s">
        <v>1101</v>
      </c>
      <c r="D44" s="67">
        <v>10827884.610300001</v>
      </c>
      <c r="E44" s="67">
        <v>3941203.41</v>
      </c>
      <c r="F44" s="68">
        <f t="shared" si="0"/>
        <v>0.36398646197715656</v>
      </c>
      <c r="G44" s="67">
        <v>6727883.6714000003</v>
      </c>
      <c r="H44" s="67">
        <v>2425062.0230999999</v>
      </c>
      <c r="I44" s="68">
        <f t="shared" si="1"/>
        <v>0.36044945803817241</v>
      </c>
    </row>
    <row r="45" spans="2:9" ht="18" customHeight="1">
      <c r="B45" s="66" t="s">
        <v>1049</v>
      </c>
      <c r="C45" s="66" t="s">
        <v>1102</v>
      </c>
      <c r="D45" s="67">
        <v>19512465.686799999</v>
      </c>
      <c r="E45" s="67">
        <v>10042203.0722</v>
      </c>
      <c r="F45" s="68">
        <f t="shared" si="0"/>
        <v>0.51465577100250615</v>
      </c>
      <c r="G45" s="67">
        <v>7169907.2143000001</v>
      </c>
      <c r="H45" s="67">
        <v>3575477.8081999999</v>
      </c>
      <c r="I45" s="68">
        <f t="shared" si="1"/>
        <v>0.49867839308560352</v>
      </c>
    </row>
    <row r="46" spans="2:9" ht="18" customHeight="1">
      <c r="B46" s="66" t="s">
        <v>1049</v>
      </c>
      <c r="C46" s="66" t="s">
        <v>1103</v>
      </c>
      <c r="D46" s="67">
        <v>15451131.20468</v>
      </c>
      <c r="E46" s="67">
        <v>1903914.1115999999</v>
      </c>
      <c r="F46" s="68">
        <f t="shared" si="0"/>
        <v>0.12322166489812232</v>
      </c>
      <c r="G46" s="67">
        <v>6828762.9875999996</v>
      </c>
      <c r="H46" s="67">
        <v>761571.92799999996</v>
      </c>
      <c r="I46" s="68">
        <f t="shared" si="1"/>
        <v>0.11152414125118991</v>
      </c>
    </row>
    <row r="47" spans="2:9" ht="18" customHeight="1">
      <c r="B47" s="66" t="s">
        <v>1050</v>
      </c>
      <c r="C47" s="66" t="s">
        <v>1066</v>
      </c>
      <c r="D47" s="67">
        <v>9222498.4405000005</v>
      </c>
      <c r="E47" s="67">
        <v>3462866.2102999999</v>
      </c>
      <c r="F47" s="68">
        <f t="shared" si="0"/>
        <v>0.37548027062743095</v>
      </c>
      <c r="G47" s="67">
        <v>3536415.2935000001</v>
      </c>
      <c r="H47" s="67">
        <v>844134.30660000001</v>
      </c>
      <c r="I47" s="68">
        <f t="shared" si="1"/>
        <v>0.23869773104746358</v>
      </c>
    </row>
    <row r="48" spans="2:9" ht="18" customHeight="1">
      <c r="B48" s="66" t="s">
        <v>1050</v>
      </c>
      <c r="C48" s="66" t="s">
        <v>1091</v>
      </c>
      <c r="D48" s="67">
        <v>26001033.726100001</v>
      </c>
      <c r="E48" s="67">
        <v>8417670.7409000006</v>
      </c>
      <c r="F48" s="68">
        <f t="shared" si="0"/>
        <v>0.32374369533047792</v>
      </c>
      <c r="G48" s="67">
        <v>13491369.575200001</v>
      </c>
      <c r="H48" s="67">
        <v>3446896.7590999999</v>
      </c>
      <c r="I48" s="68">
        <f t="shared" si="1"/>
        <v>0.25548901761879889</v>
      </c>
    </row>
    <row r="49" spans="2:9" ht="18" customHeight="1">
      <c r="B49" s="66" t="s">
        <v>1050</v>
      </c>
      <c r="C49" s="66" t="s">
        <v>1090</v>
      </c>
      <c r="D49" s="67">
        <v>11483038.699200001</v>
      </c>
      <c r="E49" s="67">
        <v>5944992.9615000002</v>
      </c>
      <c r="F49" s="68">
        <f t="shared" si="0"/>
        <v>0.51771949195940403</v>
      </c>
      <c r="G49" s="67">
        <v>5402963.7525000004</v>
      </c>
      <c r="H49" s="67">
        <v>2930191.0463</v>
      </c>
      <c r="I49" s="68">
        <f t="shared" si="1"/>
        <v>0.54233031730856496</v>
      </c>
    </row>
    <row r="50" spans="2:9" ht="18" customHeight="1">
      <c r="B50" s="66" t="s">
        <v>1050</v>
      </c>
      <c r="C50" s="66" t="s">
        <v>1095</v>
      </c>
      <c r="D50" s="67">
        <v>9068383.4962000009</v>
      </c>
      <c r="E50" s="67">
        <v>4196221.7487000003</v>
      </c>
      <c r="F50" s="68">
        <f t="shared" si="0"/>
        <v>0.46273095424982608</v>
      </c>
      <c r="G50" s="67">
        <v>5653445.3306</v>
      </c>
      <c r="H50" s="67">
        <v>2603894.4693999998</v>
      </c>
      <c r="I50" s="68">
        <f t="shared" si="1"/>
        <v>0.46058541599510766</v>
      </c>
    </row>
    <row r="51" spans="2:9" ht="18" customHeight="1">
      <c r="B51" s="66" t="s">
        <v>1050</v>
      </c>
      <c r="C51" s="66" t="s">
        <v>1096</v>
      </c>
      <c r="D51" s="67">
        <v>34457998.3486</v>
      </c>
      <c r="E51" s="67">
        <v>7353912.4737</v>
      </c>
      <c r="F51" s="68">
        <f t="shared" si="0"/>
        <v>0.21341670515225339</v>
      </c>
      <c r="G51" s="67">
        <v>17093425.916999999</v>
      </c>
      <c r="H51" s="67">
        <v>4251784.0867999997</v>
      </c>
      <c r="I51" s="68">
        <f t="shared" si="1"/>
        <v>0.2487379713958601</v>
      </c>
    </row>
    <row r="52" spans="2:9" ht="18" customHeight="1">
      <c r="B52" s="66" t="s">
        <v>1050</v>
      </c>
      <c r="C52" s="66" t="s">
        <v>1104</v>
      </c>
      <c r="D52" s="67">
        <v>27765689.0429</v>
      </c>
      <c r="E52" s="67">
        <v>8790073.1052000001</v>
      </c>
      <c r="F52" s="68">
        <f t="shared" si="0"/>
        <v>0.31658040582456648</v>
      </c>
      <c r="G52" s="67">
        <v>17958694.479400001</v>
      </c>
      <c r="H52" s="67">
        <v>5646891.3598999996</v>
      </c>
      <c r="I52" s="68">
        <f t="shared" si="1"/>
        <v>0.31443774303178978</v>
      </c>
    </row>
    <row r="53" spans="2:9" ht="18" customHeight="1">
      <c r="B53" s="66" t="s">
        <v>1050</v>
      </c>
      <c r="C53" s="66" t="s">
        <v>1105</v>
      </c>
      <c r="D53" s="67">
        <v>37406896.314499997</v>
      </c>
      <c r="E53" s="67">
        <v>10413018.446599999</v>
      </c>
      <c r="F53" s="68">
        <f t="shared" si="0"/>
        <v>0.27837162321760472</v>
      </c>
      <c r="G53" s="67">
        <v>20997141.490600001</v>
      </c>
      <c r="H53" s="67">
        <v>5652922.9060000004</v>
      </c>
      <c r="I53" s="68">
        <f t="shared" si="1"/>
        <v>0.26922345160795819</v>
      </c>
    </row>
    <row r="54" spans="2:9" ht="18" customHeight="1">
      <c r="B54" s="66" t="s">
        <v>1050</v>
      </c>
      <c r="C54" s="66" t="s">
        <v>1106</v>
      </c>
      <c r="D54" s="67">
        <v>23197541.7359</v>
      </c>
      <c r="E54" s="67">
        <v>3604338.52617</v>
      </c>
      <c r="F54" s="68">
        <f t="shared" si="0"/>
        <v>0.1553758828070996</v>
      </c>
      <c r="G54" s="67">
        <v>10244238.279300001</v>
      </c>
      <c r="H54" s="67">
        <v>1089295.07877</v>
      </c>
      <c r="I54" s="68">
        <f t="shared" si="1"/>
        <v>0.10633246211883629</v>
      </c>
    </row>
    <row r="55" spans="2:9" ht="18" customHeight="1">
      <c r="B55" s="66" t="s">
        <v>1050</v>
      </c>
      <c r="C55" s="66" t="s">
        <v>1256</v>
      </c>
      <c r="D55" s="67">
        <v>2837180.8665</v>
      </c>
      <c r="E55" s="67">
        <v>993056.63049999997</v>
      </c>
      <c r="F55" s="68">
        <f t="shared" si="0"/>
        <v>0.35001527122416182</v>
      </c>
      <c r="G55" s="67">
        <v>905614.58299999998</v>
      </c>
      <c r="H55" s="67">
        <v>427742.63900000002</v>
      </c>
      <c r="I55" s="68">
        <f t="shared" si="1"/>
        <v>0.47232304672372977</v>
      </c>
    </row>
    <row r="56" spans="2:9" ht="18" customHeight="1">
      <c r="B56" s="66" t="s">
        <v>1051</v>
      </c>
      <c r="C56" s="66" t="s">
        <v>1066</v>
      </c>
      <c r="D56" s="67">
        <v>20589585.889449999</v>
      </c>
      <c r="E56" s="67">
        <v>2858726.9514000001</v>
      </c>
      <c r="F56" s="68">
        <f t="shared" si="0"/>
        <v>0.13884334375393134</v>
      </c>
      <c r="G56" s="67">
        <v>6113777.5487500001</v>
      </c>
      <c r="H56" s="67">
        <v>971595.6973</v>
      </c>
      <c r="I56" s="68">
        <f t="shared" si="1"/>
        <v>0.1589190462938333</v>
      </c>
    </row>
    <row r="57" spans="2:9" ht="18" customHeight="1">
      <c r="B57" s="66" t="s">
        <v>1051</v>
      </c>
      <c r="C57" s="66" t="s">
        <v>1091</v>
      </c>
      <c r="D57" s="67">
        <v>5129735.3207999999</v>
      </c>
      <c r="E57" s="67">
        <v>1619186.5958</v>
      </c>
      <c r="F57" s="68">
        <f t="shared" si="0"/>
        <v>0.31564720098414012</v>
      </c>
      <c r="G57" s="67">
        <v>2196744.2999999998</v>
      </c>
      <c r="H57" s="67">
        <v>626608.56209999998</v>
      </c>
      <c r="I57" s="68">
        <f t="shared" si="1"/>
        <v>0.28524419619525132</v>
      </c>
    </row>
    <row r="58" spans="2:9" ht="18" customHeight="1">
      <c r="B58" s="66" t="s">
        <v>1051</v>
      </c>
      <c r="C58" s="66" t="s">
        <v>1107</v>
      </c>
      <c r="D58" s="67">
        <v>24779776.480700001</v>
      </c>
      <c r="E58" s="67">
        <v>8500079.9898000006</v>
      </c>
      <c r="F58" s="68">
        <f t="shared" si="0"/>
        <v>0.34302488549161775</v>
      </c>
      <c r="G58" s="67">
        <v>13616629.626599999</v>
      </c>
      <c r="H58" s="67">
        <v>4826704.4276000001</v>
      </c>
      <c r="I58" s="68">
        <f t="shared" si="1"/>
        <v>0.35447130163333984</v>
      </c>
    </row>
    <row r="59" spans="2:9" ht="18" customHeight="1">
      <c r="B59" s="66" t="s">
        <v>1051</v>
      </c>
      <c r="C59" s="66" t="s">
        <v>1108</v>
      </c>
      <c r="D59" s="67">
        <v>32487505.318100002</v>
      </c>
      <c r="E59" s="67">
        <v>6651371.6182000004</v>
      </c>
      <c r="F59" s="68">
        <f t="shared" si="0"/>
        <v>0.20473629948108921</v>
      </c>
      <c r="G59" s="67">
        <v>15487348.3343</v>
      </c>
      <c r="H59" s="67">
        <v>4200245.5831000004</v>
      </c>
      <c r="I59" s="68">
        <f t="shared" si="1"/>
        <v>0.27120495338751249</v>
      </c>
    </row>
    <row r="60" spans="2:9" ht="18" customHeight="1">
      <c r="B60" s="66" t="s">
        <v>1051</v>
      </c>
      <c r="C60" s="66" t="s">
        <v>1109</v>
      </c>
      <c r="D60" s="67">
        <v>37882488.9485</v>
      </c>
      <c r="E60" s="67">
        <v>10214562.159600001</v>
      </c>
      <c r="F60" s="68">
        <f t="shared" si="0"/>
        <v>0.26963809514961812</v>
      </c>
      <c r="G60" s="67">
        <v>18139922.603500001</v>
      </c>
      <c r="H60" s="67">
        <v>4517060.1209000004</v>
      </c>
      <c r="I60" s="68">
        <f t="shared" si="1"/>
        <v>0.24901209446331693</v>
      </c>
    </row>
    <row r="61" spans="2:9" ht="18" customHeight="1">
      <c r="B61" s="66" t="s">
        <v>1051</v>
      </c>
      <c r="C61" s="66" t="s">
        <v>1110</v>
      </c>
      <c r="D61" s="67">
        <v>28274225.3125</v>
      </c>
      <c r="E61" s="67">
        <v>9191359.7170000002</v>
      </c>
      <c r="F61" s="68">
        <f t="shared" si="0"/>
        <v>0.32507909997224615</v>
      </c>
      <c r="G61" s="67">
        <v>15300651.0909</v>
      </c>
      <c r="H61" s="67">
        <v>5934113.5033</v>
      </c>
      <c r="I61" s="68">
        <f t="shared" si="1"/>
        <v>0.38783405150838907</v>
      </c>
    </row>
    <row r="62" spans="2:9" ht="18" customHeight="1">
      <c r="B62" s="66" t="s">
        <v>1051</v>
      </c>
      <c r="C62" s="66" t="s">
        <v>1111</v>
      </c>
      <c r="D62" s="67">
        <v>15896811.5198</v>
      </c>
      <c r="E62" s="67">
        <v>5517066.5800000001</v>
      </c>
      <c r="F62" s="68">
        <f t="shared" si="0"/>
        <v>0.34705491558029183</v>
      </c>
      <c r="G62" s="67">
        <v>9450540.9462000001</v>
      </c>
      <c r="H62" s="67">
        <v>4149476.648</v>
      </c>
      <c r="I62" s="68">
        <f t="shared" si="1"/>
        <v>0.43907292414499055</v>
      </c>
    </row>
    <row r="63" spans="2:9" ht="18" customHeight="1">
      <c r="B63" s="66" t="s">
        <v>1051</v>
      </c>
      <c r="C63" s="66" t="s">
        <v>1090</v>
      </c>
      <c r="D63" s="67">
        <v>48514246.321699999</v>
      </c>
      <c r="E63" s="67">
        <v>6260100.8794999998</v>
      </c>
      <c r="F63" s="68">
        <f t="shared" si="0"/>
        <v>0.12903634198476482</v>
      </c>
      <c r="G63" s="67">
        <v>23004523.048999999</v>
      </c>
      <c r="H63" s="67">
        <v>3166495.6255999999</v>
      </c>
      <c r="I63" s="68">
        <f t="shared" si="1"/>
        <v>0.13764665404517687</v>
      </c>
    </row>
    <row r="64" spans="2:9" ht="18" customHeight="1">
      <c r="B64" s="66" t="s">
        <v>1051</v>
      </c>
      <c r="C64" s="66" t="s">
        <v>1112</v>
      </c>
      <c r="D64" s="67">
        <v>7236739.8240999999</v>
      </c>
      <c r="E64" s="67">
        <v>1620406.4443000001</v>
      </c>
      <c r="F64" s="68">
        <f t="shared" si="0"/>
        <v>0.22391387333059506</v>
      </c>
      <c r="G64" s="67">
        <v>3256713.8349000001</v>
      </c>
      <c r="H64" s="67">
        <v>876234.51210000005</v>
      </c>
      <c r="I64" s="68">
        <f t="shared" si="1"/>
        <v>0.26905480693759065</v>
      </c>
    </row>
    <row r="65" spans="2:9" ht="18" customHeight="1">
      <c r="B65" s="66" t="s">
        <v>1051</v>
      </c>
      <c r="C65" s="66" t="s">
        <v>1113</v>
      </c>
      <c r="D65" s="67">
        <v>2246877.9629000002</v>
      </c>
      <c r="E65" s="67">
        <v>344495.22399999999</v>
      </c>
      <c r="F65" s="68">
        <f t="shared" si="0"/>
        <v>0.15332173339550981</v>
      </c>
      <c r="G65" s="67">
        <v>848608.34519999998</v>
      </c>
      <c r="H65" s="67">
        <v>221491.527</v>
      </c>
      <c r="I65" s="68">
        <f t="shared" si="1"/>
        <v>0.26100559610664553</v>
      </c>
    </row>
    <row r="66" spans="2:9" ht="18" customHeight="1">
      <c r="B66" s="66" t="s">
        <v>1052</v>
      </c>
      <c r="C66" s="66" t="s">
        <v>1091</v>
      </c>
      <c r="D66" s="67">
        <v>9818062.1829000004</v>
      </c>
      <c r="E66" s="67">
        <v>3200778.7357999999</v>
      </c>
      <c r="F66" s="68">
        <f t="shared" si="0"/>
        <v>0.32600921405598321</v>
      </c>
      <c r="G66" s="67">
        <v>4733788.6370999999</v>
      </c>
      <c r="H66" s="67">
        <v>1350264.3859999999</v>
      </c>
      <c r="I66" s="68">
        <f t="shared" si="1"/>
        <v>0.28523968633022767</v>
      </c>
    </row>
    <row r="67" spans="2:9" ht="18" customHeight="1">
      <c r="B67" s="66" t="s">
        <v>1052</v>
      </c>
      <c r="C67" s="66" t="s">
        <v>1090</v>
      </c>
      <c r="D67" s="67">
        <v>21202314.967300002</v>
      </c>
      <c r="E67" s="67">
        <v>4070352.8857</v>
      </c>
      <c r="F67" s="68">
        <f t="shared" si="0"/>
        <v>0.19197681441755968</v>
      </c>
      <c r="G67" s="67">
        <v>11973601.082599999</v>
      </c>
      <c r="H67" s="67">
        <v>2782953.8284999998</v>
      </c>
      <c r="I67" s="68">
        <f t="shared" si="1"/>
        <v>0.23242413116169203</v>
      </c>
    </row>
    <row r="68" spans="2:9" ht="18" customHeight="1">
      <c r="B68" s="66" t="s">
        <v>1052</v>
      </c>
      <c r="C68" s="66" t="s">
        <v>1095</v>
      </c>
      <c r="D68" s="67">
        <v>15631947.9966</v>
      </c>
      <c r="E68" s="67">
        <v>4288854.3825000003</v>
      </c>
      <c r="F68" s="68">
        <f t="shared" si="0"/>
        <v>0.27436467824949523</v>
      </c>
      <c r="G68" s="67">
        <v>9883694.5159000009</v>
      </c>
      <c r="H68" s="67">
        <v>3039727.98</v>
      </c>
      <c r="I68" s="68">
        <f t="shared" si="1"/>
        <v>0.30754977049421733</v>
      </c>
    </row>
    <row r="69" spans="2:9" ht="18" customHeight="1">
      <c r="B69" s="66" t="s">
        <v>1052</v>
      </c>
      <c r="C69" s="66" t="s">
        <v>1096</v>
      </c>
      <c r="D69" s="67">
        <v>29288490.041299999</v>
      </c>
      <c r="E69" s="67">
        <v>8559832.9444999993</v>
      </c>
      <c r="F69" s="68">
        <f t="shared" si="0"/>
        <v>0.29225927770361981</v>
      </c>
      <c r="G69" s="67">
        <v>16990415.7434</v>
      </c>
      <c r="H69" s="67">
        <v>5569059.6157999998</v>
      </c>
      <c r="I69" s="68">
        <f t="shared" si="1"/>
        <v>0.32777653589573436</v>
      </c>
    </row>
    <row r="70" spans="2:9" ht="18" customHeight="1">
      <c r="B70" s="66" t="s">
        <v>1052</v>
      </c>
      <c r="C70" s="66" t="s">
        <v>1114</v>
      </c>
      <c r="D70" s="67">
        <v>34170759.302599996</v>
      </c>
      <c r="E70" s="67">
        <v>4778543.45</v>
      </c>
      <c r="F70" s="68">
        <f t="shared" ref="F70:F133" si="2">E70/D70</f>
        <v>0.13984305726669669</v>
      </c>
      <c r="G70" s="67">
        <v>16275577.9385</v>
      </c>
      <c r="H70" s="67">
        <v>2063270.0149999999</v>
      </c>
      <c r="I70" s="68">
        <f t="shared" ref="I70:I133" si="3">H70/G70</f>
        <v>0.12677092161005965</v>
      </c>
    </row>
    <row r="71" spans="2:9" ht="18" customHeight="1">
      <c r="B71" s="66" t="s">
        <v>1053</v>
      </c>
      <c r="C71" s="66" t="s">
        <v>1091</v>
      </c>
      <c r="D71" s="67">
        <v>14520421.5319</v>
      </c>
      <c r="E71" s="67">
        <v>5159522.8206000002</v>
      </c>
      <c r="F71" s="68">
        <f t="shared" si="2"/>
        <v>0.35532872163972745</v>
      </c>
      <c r="G71" s="67">
        <v>8417828.1392999999</v>
      </c>
      <c r="H71" s="67">
        <v>2994231.5946</v>
      </c>
      <c r="I71" s="68">
        <f t="shared" si="3"/>
        <v>0.35570120285788953</v>
      </c>
    </row>
    <row r="72" spans="2:9" ht="18" customHeight="1">
      <c r="B72" s="66" t="s">
        <v>1053</v>
      </c>
      <c r="C72" s="66" t="s">
        <v>1066</v>
      </c>
      <c r="D72" s="67">
        <v>15387201.7422</v>
      </c>
      <c r="E72" s="67">
        <v>6961175.0767999999</v>
      </c>
      <c r="F72" s="68">
        <f t="shared" si="2"/>
        <v>0.4524003255061449</v>
      </c>
      <c r="G72" s="67">
        <v>8940366.7309000008</v>
      </c>
      <c r="H72" s="67">
        <v>3802978.0359</v>
      </c>
      <c r="I72" s="68">
        <f t="shared" si="3"/>
        <v>0.42537159272851943</v>
      </c>
    </row>
    <row r="73" spans="2:9" ht="18" customHeight="1">
      <c r="B73" s="66" t="s">
        <v>1053</v>
      </c>
      <c r="C73" s="66" t="s">
        <v>1090</v>
      </c>
      <c r="D73" s="67">
        <v>35150129.079499997</v>
      </c>
      <c r="E73" s="67">
        <v>12434587.326400001</v>
      </c>
      <c r="F73" s="68">
        <f t="shared" si="2"/>
        <v>0.35375651959275478</v>
      </c>
      <c r="G73" s="67">
        <v>17469105.595699999</v>
      </c>
      <c r="H73" s="67">
        <v>7186315.4837999996</v>
      </c>
      <c r="I73" s="68">
        <f t="shared" si="3"/>
        <v>0.41137283442656064</v>
      </c>
    </row>
    <row r="74" spans="2:9" ht="18" customHeight="1">
      <c r="B74" s="66" t="s">
        <v>1053</v>
      </c>
      <c r="C74" s="66" t="s">
        <v>1115</v>
      </c>
      <c r="D74" s="67">
        <v>36201811.999449998</v>
      </c>
      <c r="E74" s="67">
        <v>8032985.8990500001</v>
      </c>
      <c r="F74" s="68">
        <f t="shared" si="2"/>
        <v>0.2218945808340213</v>
      </c>
      <c r="G74" s="67">
        <v>15986973.703</v>
      </c>
      <c r="H74" s="67">
        <v>3220306.909</v>
      </c>
      <c r="I74" s="68">
        <f t="shared" si="3"/>
        <v>0.20143317733710292</v>
      </c>
    </row>
    <row r="75" spans="2:9" ht="18" customHeight="1">
      <c r="B75" s="66" t="s">
        <v>1053</v>
      </c>
      <c r="C75" s="66" t="s">
        <v>1116</v>
      </c>
      <c r="D75" s="67">
        <v>15092352.948799999</v>
      </c>
      <c r="E75" s="67">
        <v>5220428.3634000001</v>
      </c>
      <c r="F75" s="68">
        <f t="shared" si="2"/>
        <v>0.34589890530058659</v>
      </c>
      <c r="G75" s="67">
        <v>6466498.1396000003</v>
      </c>
      <c r="H75" s="67">
        <v>2994563.2900999999</v>
      </c>
      <c r="I75" s="68">
        <f t="shared" si="3"/>
        <v>0.46308886594456444</v>
      </c>
    </row>
    <row r="76" spans="2:9" ht="18" customHeight="1">
      <c r="B76" s="66" t="s">
        <v>1054</v>
      </c>
      <c r="C76" s="66" t="s">
        <v>1066</v>
      </c>
      <c r="D76" s="67">
        <v>12616138.869899999</v>
      </c>
      <c r="E76" s="67">
        <v>4169954.8146000002</v>
      </c>
      <c r="F76" s="68">
        <f t="shared" si="2"/>
        <v>0.33052543710887772</v>
      </c>
      <c r="G76" s="67">
        <v>8132855.9617999997</v>
      </c>
      <c r="H76" s="67">
        <v>2892656.9463999998</v>
      </c>
      <c r="I76" s="68">
        <f t="shared" si="3"/>
        <v>0.3556754183262068</v>
      </c>
    </row>
    <row r="77" spans="2:9" ht="18" customHeight="1">
      <c r="B77" s="66" t="s">
        <v>1054</v>
      </c>
      <c r="C77" s="66" t="s">
        <v>1095</v>
      </c>
      <c r="D77" s="67">
        <v>28833283.192000002</v>
      </c>
      <c r="E77" s="67">
        <v>8707636.2287000008</v>
      </c>
      <c r="F77" s="68">
        <f t="shared" si="2"/>
        <v>0.30199946952680007</v>
      </c>
      <c r="G77" s="67">
        <v>12624711.5441</v>
      </c>
      <c r="H77" s="67">
        <v>3848120.6789000002</v>
      </c>
      <c r="I77" s="68">
        <f t="shared" si="3"/>
        <v>0.30480860219720196</v>
      </c>
    </row>
    <row r="78" spans="2:9" ht="18" customHeight="1">
      <c r="B78" s="66" t="s">
        <v>1054</v>
      </c>
      <c r="C78" s="66" t="s">
        <v>1091</v>
      </c>
      <c r="D78" s="67">
        <v>11502082.37675</v>
      </c>
      <c r="E78" s="67">
        <v>4224548.6657999996</v>
      </c>
      <c r="F78" s="68">
        <f t="shared" si="2"/>
        <v>0.36728555120935219</v>
      </c>
      <c r="G78" s="67">
        <v>6067121.2772000004</v>
      </c>
      <c r="H78" s="67">
        <v>2141307.622</v>
      </c>
      <c r="I78" s="68">
        <f t="shared" si="3"/>
        <v>0.35293634726685763</v>
      </c>
    </row>
    <row r="79" spans="2:9" ht="18" customHeight="1">
      <c r="B79" s="66" t="s">
        <v>1054</v>
      </c>
      <c r="C79" s="66" t="s">
        <v>1096</v>
      </c>
      <c r="D79" s="67">
        <v>18100812.814100001</v>
      </c>
      <c r="E79" s="67">
        <v>3921859.1669999999</v>
      </c>
      <c r="F79" s="68">
        <f t="shared" si="2"/>
        <v>0.21666757218465829</v>
      </c>
      <c r="G79" s="67">
        <v>8772267.5785000008</v>
      </c>
      <c r="H79" s="67">
        <v>1145449.8213</v>
      </c>
      <c r="I79" s="68">
        <f t="shared" si="3"/>
        <v>0.13057625192685518</v>
      </c>
    </row>
    <row r="80" spans="2:9" ht="18" customHeight="1">
      <c r="B80" s="66" t="s">
        <v>1054</v>
      </c>
      <c r="C80" s="66" t="s">
        <v>1117</v>
      </c>
      <c r="D80" s="67">
        <v>23758511.829300001</v>
      </c>
      <c r="E80" s="67">
        <v>4259565.7642000001</v>
      </c>
      <c r="F80" s="68">
        <f t="shared" si="2"/>
        <v>0.17928588266824538</v>
      </c>
      <c r="G80" s="67">
        <v>8761591.5695999991</v>
      </c>
      <c r="H80" s="67">
        <v>1732548.7419</v>
      </c>
      <c r="I80" s="68">
        <f t="shared" si="3"/>
        <v>0.19774360949572289</v>
      </c>
    </row>
    <row r="81" spans="2:9" ht="18" customHeight="1">
      <c r="B81" s="66" t="s">
        <v>1055</v>
      </c>
      <c r="C81" s="66"/>
      <c r="D81" s="67">
        <v>31939699.539299998</v>
      </c>
      <c r="E81" s="67">
        <v>2586088.6663000002</v>
      </c>
      <c r="F81" s="68">
        <f t="shared" si="2"/>
        <v>8.0967845771935457E-2</v>
      </c>
      <c r="G81" s="67">
        <v>16035867.659299999</v>
      </c>
      <c r="H81" s="67">
        <v>972831.755</v>
      </c>
      <c r="I81" s="68">
        <f t="shared" si="3"/>
        <v>6.0665988000705801E-2</v>
      </c>
    </row>
    <row r="82" spans="2:9" ht="18" customHeight="1">
      <c r="B82" s="66" t="s">
        <v>1056</v>
      </c>
      <c r="C82" s="66" t="s">
        <v>1118</v>
      </c>
      <c r="D82" s="67">
        <v>14351072.511299999</v>
      </c>
      <c r="E82" s="67">
        <v>3617197.9309999999</v>
      </c>
      <c r="F82" s="68">
        <f t="shared" si="2"/>
        <v>0.25205070409558777</v>
      </c>
      <c r="G82" s="67">
        <v>9234494.3840999994</v>
      </c>
      <c r="H82" s="67">
        <v>2117118.318</v>
      </c>
      <c r="I82" s="68">
        <f t="shared" si="3"/>
        <v>0.2292619638867576</v>
      </c>
    </row>
    <row r="83" spans="2:9" ht="18" customHeight="1">
      <c r="B83" s="66" t="s">
        <v>1056</v>
      </c>
      <c r="C83" s="66" t="s">
        <v>1119</v>
      </c>
      <c r="D83" s="67">
        <v>22456258.633900002</v>
      </c>
      <c r="E83" s="67">
        <v>3345328.73</v>
      </c>
      <c r="F83" s="68">
        <f t="shared" si="2"/>
        <v>0.14897088533482986</v>
      </c>
      <c r="G83" s="67">
        <v>13029103.941099999</v>
      </c>
      <c r="H83" s="67">
        <v>2239497.7889999999</v>
      </c>
      <c r="I83" s="68">
        <f t="shared" si="3"/>
        <v>0.171884252295782</v>
      </c>
    </row>
    <row r="84" spans="2:9" ht="18" customHeight="1">
      <c r="B84" s="66" t="s">
        <v>1056</v>
      </c>
      <c r="C84" s="66" t="s">
        <v>1120</v>
      </c>
      <c r="D84" s="67">
        <v>13606402.328500001</v>
      </c>
      <c r="E84" s="67">
        <v>3945437.2310000001</v>
      </c>
      <c r="F84" s="68">
        <f t="shared" si="2"/>
        <v>0.28996917302201763</v>
      </c>
      <c r="G84" s="67">
        <v>6549463.1426999997</v>
      </c>
      <c r="H84" s="67">
        <v>1717862.2749999999</v>
      </c>
      <c r="I84" s="68">
        <f t="shared" si="3"/>
        <v>0.26229054772446825</v>
      </c>
    </row>
    <row r="85" spans="2:9" ht="18" customHeight="1">
      <c r="B85" s="66" t="s">
        <v>1056</v>
      </c>
      <c r="C85" s="66" t="s">
        <v>1121</v>
      </c>
      <c r="D85" s="67">
        <v>28283351.285700001</v>
      </c>
      <c r="E85" s="67">
        <v>3180737.8029999998</v>
      </c>
      <c r="F85" s="68">
        <f t="shared" si="2"/>
        <v>0.11245972129929928</v>
      </c>
      <c r="G85" s="67">
        <v>12763090.0699</v>
      </c>
      <c r="H85" s="67">
        <v>1663993.4890000001</v>
      </c>
      <c r="I85" s="68">
        <f t="shared" si="3"/>
        <v>0.13037544042130525</v>
      </c>
    </row>
    <row r="86" spans="2:9" ht="18" customHeight="1">
      <c r="B86" s="66" t="s">
        <v>1056</v>
      </c>
      <c r="C86" s="66" t="s">
        <v>1122</v>
      </c>
      <c r="D86" s="67">
        <v>13922631.827199999</v>
      </c>
      <c r="E86" s="67">
        <v>3388500.7179999999</v>
      </c>
      <c r="F86" s="68">
        <f t="shared" si="2"/>
        <v>0.24338076019363261</v>
      </c>
      <c r="G86" s="67">
        <v>6734816.9275000002</v>
      </c>
      <c r="H86" s="67">
        <v>1965900.287</v>
      </c>
      <c r="I86" s="68">
        <f t="shared" si="3"/>
        <v>0.29190107291153239</v>
      </c>
    </row>
    <row r="87" spans="2:9" ht="18" customHeight="1">
      <c r="B87" s="66" t="s">
        <v>1056</v>
      </c>
      <c r="C87" s="66" t="s">
        <v>1123</v>
      </c>
      <c r="D87" s="67">
        <v>12755613.4366</v>
      </c>
      <c r="E87" s="67">
        <v>3763440.1320000002</v>
      </c>
      <c r="F87" s="68">
        <f t="shared" si="2"/>
        <v>0.29504187710811836</v>
      </c>
      <c r="G87" s="67">
        <v>6133313.6984000001</v>
      </c>
      <c r="H87" s="67">
        <v>2180742.5449999999</v>
      </c>
      <c r="I87" s="68">
        <f t="shared" si="3"/>
        <v>0.35555698798985141</v>
      </c>
    </row>
    <row r="88" spans="2:9" ht="18" customHeight="1">
      <c r="B88" s="66" t="s">
        <v>1056</v>
      </c>
      <c r="C88" s="66" t="s">
        <v>1124</v>
      </c>
      <c r="D88" s="67">
        <v>63820014.963600002</v>
      </c>
      <c r="E88" s="67">
        <v>29864391.902399998</v>
      </c>
      <c r="F88" s="68">
        <f t="shared" si="2"/>
        <v>0.46794711532789945</v>
      </c>
      <c r="G88" s="67">
        <v>22543217.915800001</v>
      </c>
      <c r="H88" s="67">
        <v>11582972.055</v>
      </c>
      <c r="I88" s="68">
        <f t="shared" si="3"/>
        <v>0.51381183015942777</v>
      </c>
    </row>
    <row r="89" spans="2:9" ht="18" customHeight="1">
      <c r="B89" s="66" t="s">
        <v>1056</v>
      </c>
      <c r="C89" s="66" t="s">
        <v>1125</v>
      </c>
      <c r="D89" s="67">
        <v>25549267.9355</v>
      </c>
      <c r="E89" s="67">
        <v>5244510.7110000001</v>
      </c>
      <c r="F89" s="68">
        <f t="shared" si="2"/>
        <v>0.20527048854158744</v>
      </c>
      <c r="G89" s="67">
        <v>15412293.544</v>
      </c>
      <c r="H89" s="67">
        <v>3195101.4580000001</v>
      </c>
      <c r="I89" s="68">
        <f t="shared" si="3"/>
        <v>0.20730862988551446</v>
      </c>
    </row>
    <row r="90" spans="2:9" ht="18" customHeight="1">
      <c r="B90" s="66" t="s">
        <v>1056</v>
      </c>
      <c r="C90" s="66" t="s">
        <v>1126</v>
      </c>
      <c r="D90" s="67">
        <v>13449042.4583</v>
      </c>
      <c r="E90" s="67">
        <v>4214755.6091999998</v>
      </c>
      <c r="F90" s="68">
        <f t="shared" si="2"/>
        <v>0.31338704017540575</v>
      </c>
      <c r="G90" s="67">
        <v>7032184.7887000004</v>
      </c>
      <c r="H90" s="67">
        <v>1921643.7901999999</v>
      </c>
      <c r="I90" s="68">
        <f t="shared" si="3"/>
        <v>0.27326412031832331</v>
      </c>
    </row>
    <row r="91" spans="2:9" ht="18" customHeight="1">
      <c r="B91" s="66" t="s">
        <v>1056</v>
      </c>
      <c r="C91" s="66" t="s">
        <v>1127</v>
      </c>
      <c r="D91" s="67">
        <v>21644106.162799999</v>
      </c>
      <c r="E91" s="67">
        <v>7650269.1634999998</v>
      </c>
      <c r="F91" s="68">
        <f t="shared" si="2"/>
        <v>0.35345738493228307</v>
      </c>
      <c r="G91" s="67">
        <v>10242240.124199999</v>
      </c>
      <c r="H91" s="67">
        <v>4821698.9565000003</v>
      </c>
      <c r="I91" s="68">
        <f t="shared" si="3"/>
        <v>0.47076605293674595</v>
      </c>
    </row>
    <row r="92" spans="2:9" ht="18" customHeight="1">
      <c r="B92" s="66" t="s">
        <v>1056</v>
      </c>
      <c r="C92" s="66" t="s">
        <v>1128</v>
      </c>
      <c r="D92" s="67">
        <v>54335958.636440001</v>
      </c>
      <c r="E92" s="67">
        <v>18581922.568500001</v>
      </c>
      <c r="F92" s="68">
        <f t="shared" si="2"/>
        <v>0.34198205083361083</v>
      </c>
      <c r="G92" s="67">
        <v>25536864.210299999</v>
      </c>
      <c r="H92" s="67">
        <v>9014931.6209999993</v>
      </c>
      <c r="I92" s="68">
        <f t="shared" si="3"/>
        <v>0.35301639021771242</v>
      </c>
    </row>
    <row r="93" spans="2:9" ht="18" customHeight="1">
      <c r="B93" s="66" t="s">
        <v>1056</v>
      </c>
      <c r="C93" s="66" t="s">
        <v>1129</v>
      </c>
      <c r="D93" s="67">
        <v>16273158.7127</v>
      </c>
      <c r="E93" s="67">
        <v>5791378.4205999998</v>
      </c>
      <c r="F93" s="68">
        <f t="shared" si="2"/>
        <v>0.35588532766415265</v>
      </c>
      <c r="G93" s="67">
        <v>9038913.5165999997</v>
      </c>
      <c r="H93" s="67">
        <v>3628353.2969999998</v>
      </c>
      <c r="I93" s="68">
        <f t="shared" si="3"/>
        <v>0.4014147596762061</v>
      </c>
    </row>
    <row r="94" spans="2:9" ht="18" customHeight="1">
      <c r="B94" s="66" t="s">
        <v>1056</v>
      </c>
      <c r="C94" s="66" t="s">
        <v>1130</v>
      </c>
      <c r="D94" s="67">
        <v>79609898.248685002</v>
      </c>
      <c r="E94" s="67">
        <v>7416599.8211000003</v>
      </c>
      <c r="F94" s="68">
        <f t="shared" si="2"/>
        <v>9.3161779932591587E-2</v>
      </c>
      <c r="G94" s="67">
        <v>25373765.321180001</v>
      </c>
      <c r="H94" s="67">
        <v>3500501.0578000001</v>
      </c>
      <c r="I94" s="68">
        <f t="shared" si="3"/>
        <v>0.1379574932411809</v>
      </c>
    </row>
    <row r="95" spans="2:9" ht="18" customHeight="1">
      <c r="B95" s="66" t="s">
        <v>1056</v>
      </c>
      <c r="C95" s="66" t="s">
        <v>1131</v>
      </c>
      <c r="D95" s="67">
        <v>6308025.3191999998</v>
      </c>
      <c r="E95" s="67">
        <v>1473111.2834999999</v>
      </c>
      <c r="F95" s="68">
        <f t="shared" si="2"/>
        <v>0.23352970366435113</v>
      </c>
      <c r="G95" s="67">
        <v>3417636.5515999999</v>
      </c>
      <c r="H95" s="67">
        <v>796499.67660000001</v>
      </c>
      <c r="I95" s="68">
        <f t="shared" si="3"/>
        <v>0.23305569933324563</v>
      </c>
    </row>
    <row r="96" spans="2:9" ht="18" customHeight="1">
      <c r="B96" s="66" t="s">
        <v>1056</v>
      </c>
      <c r="C96" s="66" t="s">
        <v>1132</v>
      </c>
      <c r="D96" s="67">
        <v>18292387.913400002</v>
      </c>
      <c r="E96" s="67">
        <v>4886645.9155000001</v>
      </c>
      <c r="F96" s="68">
        <f t="shared" si="2"/>
        <v>0.26714095166986435</v>
      </c>
      <c r="G96" s="67">
        <v>11496371.0966</v>
      </c>
      <c r="H96" s="67">
        <v>3057000.8709999998</v>
      </c>
      <c r="I96" s="68">
        <f t="shared" si="3"/>
        <v>0.26591007243182102</v>
      </c>
    </row>
    <row r="97" spans="2:9" ht="18" customHeight="1">
      <c r="B97" s="66" t="s">
        <v>1056</v>
      </c>
      <c r="C97" s="66" t="s">
        <v>1133</v>
      </c>
      <c r="D97" s="67">
        <v>31570284.976939999</v>
      </c>
      <c r="E97" s="67">
        <v>8846547.3222000003</v>
      </c>
      <c r="F97" s="68">
        <f t="shared" si="2"/>
        <v>0.28021753141163652</v>
      </c>
      <c r="G97" s="67">
        <v>10155385.846340001</v>
      </c>
      <c r="H97" s="67">
        <v>2297826.8114999998</v>
      </c>
      <c r="I97" s="68">
        <f t="shared" si="3"/>
        <v>0.22626681509379934</v>
      </c>
    </row>
    <row r="98" spans="2:9" ht="18" customHeight="1">
      <c r="B98" s="66" t="s">
        <v>1056</v>
      </c>
      <c r="C98" s="66" t="s">
        <v>1134</v>
      </c>
      <c r="D98" s="67">
        <v>29182585.651250001</v>
      </c>
      <c r="E98" s="67">
        <v>3289302.9175</v>
      </c>
      <c r="F98" s="68">
        <f t="shared" si="2"/>
        <v>0.11271458111386051</v>
      </c>
      <c r="G98" s="67">
        <v>16294828.662450001</v>
      </c>
      <c r="H98" s="67">
        <v>2057412.2505000001</v>
      </c>
      <c r="I98" s="68">
        <f t="shared" si="3"/>
        <v>0.12626166823350071</v>
      </c>
    </row>
    <row r="99" spans="2:9" ht="18" customHeight="1">
      <c r="B99" s="66" t="s">
        <v>1056</v>
      </c>
      <c r="C99" s="66" t="s">
        <v>1135</v>
      </c>
      <c r="D99" s="67">
        <v>24042339.5218</v>
      </c>
      <c r="E99" s="67">
        <v>3200576.7536999998</v>
      </c>
      <c r="F99" s="68">
        <f t="shared" si="2"/>
        <v>0.133122517082746</v>
      </c>
      <c r="G99" s="67">
        <v>10094488.6621</v>
      </c>
      <c r="H99" s="67">
        <v>2115336.3912</v>
      </c>
      <c r="I99" s="68">
        <f t="shared" si="3"/>
        <v>0.20955359523480185</v>
      </c>
    </row>
    <row r="100" spans="2:9" ht="18" customHeight="1">
      <c r="B100" s="66" t="s">
        <v>1056</v>
      </c>
      <c r="C100" s="66" t="s">
        <v>1136</v>
      </c>
      <c r="D100" s="67">
        <v>17849441.245200001</v>
      </c>
      <c r="E100" s="67">
        <v>3413093.2612000001</v>
      </c>
      <c r="F100" s="68">
        <f t="shared" si="2"/>
        <v>0.1912156920944422</v>
      </c>
      <c r="G100" s="67">
        <v>10231025.8213</v>
      </c>
      <c r="H100" s="67">
        <v>2753665.0839999998</v>
      </c>
      <c r="I100" s="68">
        <f t="shared" si="3"/>
        <v>0.26914848345579745</v>
      </c>
    </row>
    <row r="101" spans="2:9" ht="18" customHeight="1">
      <c r="B101" s="66" t="s">
        <v>1056</v>
      </c>
      <c r="C101" s="66" t="s">
        <v>1137</v>
      </c>
      <c r="D101" s="67">
        <v>5675834.8186999997</v>
      </c>
      <c r="E101" s="67">
        <v>1433179.9815</v>
      </c>
      <c r="F101" s="68">
        <f t="shared" si="2"/>
        <v>0.25250558328056794</v>
      </c>
      <c r="G101" s="67">
        <v>2777511.5414</v>
      </c>
      <c r="H101" s="67">
        <v>663583.53749999998</v>
      </c>
      <c r="I101" s="68">
        <f t="shared" si="3"/>
        <v>0.23891297213675008</v>
      </c>
    </row>
    <row r="102" spans="2:9" ht="18" customHeight="1">
      <c r="B102" s="66" t="s">
        <v>1056</v>
      </c>
      <c r="C102" s="66" t="s">
        <v>1138</v>
      </c>
      <c r="D102" s="67">
        <v>11733926.3816</v>
      </c>
      <c r="E102" s="67">
        <v>2924267.2792000002</v>
      </c>
      <c r="F102" s="68">
        <f t="shared" si="2"/>
        <v>0.24921472865089311</v>
      </c>
      <c r="G102" s="67">
        <v>6208698.2982999999</v>
      </c>
      <c r="H102" s="67">
        <v>1529213.6765000001</v>
      </c>
      <c r="I102" s="68">
        <f t="shared" si="3"/>
        <v>0.24630181771253296</v>
      </c>
    </row>
    <row r="103" spans="2:9" ht="18" customHeight="1">
      <c r="B103" s="66" t="s">
        <v>1056</v>
      </c>
      <c r="C103" s="66" t="s">
        <v>1139</v>
      </c>
      <c r="D103" s="67">
        <v>46777364.077870101</v>
      </c>
      <c r="E103" s="67">
        <v>3883847.1087000002</v>
      </c>
      <c r="F103" s="68">
        <f t="shared" si="2"/>
        <v>8.30283446975459E-2</v>
      </c>
      <c r="G103" s="67">
        <v>26763134.713100001</v>
      </c>
      <c r="H103" s="67">
        <v>2209828.8703000001</v>
      </c>
      <c r="I103" s="68">
        <f t="shared" si="3"/>
        <v>8.2569881816509871E-2</v>
      </c>
    </row>
    <row r="104" spans="2:9" ht="18" customHeight="1">
      <c r="B104" s="66" t="s">
        <v>1056</v>
      </c>
      <c r="C104" s="66" t="s">
        <v>1140</v>
      </c>
      <c r="D104" s="67">
        <v>15154892.634299999</v>
      </c>
      <c r="E104" s="67">
        <v>1584885.4423</v>
      </c>
      <c r="F104" s="68">
        <f t="shared" si="2"/>
        <v>0.10457912705451546</v>
      </c>
      <c r="G104" s="67">
        <v>8090529.8427999998</v>
      </c>
      <c r="H104" s="67">
        <v>698791.87600000005</v>
      </c>
      <c r="I104" s="68">
        <f t="shared" si="3"/>
        <v>8.6371583762449813E-2</v>
      </c>
    </row>
    <row r="105" spans="2:9" ht="18" customHeight="1">
      <c r="B105" s="66" t="s">
        <v>1056</v>
      </c>
      <c r="C105" s="66" t="s">
        <v>1141</v>
      </c>
      <c r="D105" s="67">
        <v>43381166.561899997</v>
      </c>
      <c r="E105" s="67">
        <v>3359486.0907999999</v>
      </c>
      <c r="F105" s="68">
        <f t="shared" si="2"/>
        <v>7.7441119201033817E-2</v>
      </c>
      <c r="G105" s="67">
        <v>21657211.326400001</v>
      </c>
      <c r="H105" s="67">
        <v>1439901.0131999999</v>
      </c>
      <c r="I105" s="68">
        <f t="shared" si="3"/>
        <v>6.6485984344843596E-2</v>
      </c>
    </row>
    <row r="106" spans="2:9" ht="18" customHeight="1">
      <c r="B106" s="66" t="s">
        <v>1056</v>
      </c>
      <c r="C106" s="66" t="s">
        <v>1142</v>
      </c>
      <c r="D106" s="67">
        <v>20529552.9826</v>
      </c>
      <c r="E106" s="67">
        <v>9379423.1920999996</v>
      </c>
      <c r="F106" s="68">
        <f t="shared" si="2"/>
        <v>0.45687420471598239</v>
      </c>
      <c r="G106" s="67">
        <v>9912519.1878999993</v>
      </c>
      <c r="H106" s="67">
        <v>5223359.2863999996</v>
      </c>
      <c r="I106" s="68">
        <f t="shared" si="3"/>
        <v>0.52694569234993693</v>
      </c>
    </row>
    <row r="107" spans="2:9" ht="18" customHeight="1">
      <c r="B107" s="66" t="s">
        <v>1056</v>
      </c>
      <c r="C107" s="66" t="s">
        <v>1143</v>
      </c>
      <c r="D107" s="67">
        <v>10118964.775599999</v>
      </c>
      <c r="E107" s="67">
        <v>1696401.4519</v>
      </c>
      <c r="F107" s="68">
        <f t="shared" si="2"/>
        <v>0.16764575127196374</v>
      </c>
      <c r="G107" s="67">
        <v>5691663.9069999997</v>
      </c>
      <c r="H107" s="67">
        <v>954433.5845</v>
      </c>
      <c r="I107" s="68">
        <f t="shared" si="3"/>
        <v>0.1676897301202504</v>
      </c>
    </row>
    <row r="108" spans="2:9" ht="18" customHeight="1">
      <c r="B108" s="66" t="s">
        <v>1056</v>
      </c>
      <c r="C108" s="66" t="s">
        <v>1144</v>
      </c>
      <c r="D108" s="67">
        <v>23239760.98945</v>
      </c>
      <c r="E108" s="67">
        <v>2088688.2045</v>
      </c>
      <c r="F108" s="68">
        <f t="shared" si="2"/>
        <v>8.9875631915844051E-2</v>
      </c>
      <c r="G108" s="67">
        <v>11321780.55345</v>
      </c>
      <c r="H108" s="67">
        <v>1502170.1344999999</v>
      </c>
      <c r="I108" s="68">
        <f t="shared" si="3"/>
        <v>0.13267967237205061</v>
      </c>
    </row>
    <row r="109" spans="2:9" ht="18" customHeight="1">
      <c r="B109" s="66" t="s">
        <v>1056</v>
      </c>
      <c r="C109" s="66" t="s">
        <v>1145</v>
      </c>
      <c r="D109" s="67">
        <v>26837266.087200001</v>
      </c>
      <c r="E109" s="67">
        <v>3191960.3467999999</v>
      </c>
      <c r="F109" s="68">
        <f t="shared" si="2"/>
        <v>0.1189376122153665</v>
      </c>
      <c r="G109" s="67">
        <v>9324295.5187999997</v>
      </c>
      <c r="H109" s="67">
        <v>1115897.122</v>
      </c>
      <c r="I109" s="68">
        <f t="shared" si="3"/>
        <v>0.11967629294353506</v>
      </c>
    </row>
    <row r="110" spans="2:9" ht="18" customHeight="1">
      <c r="B110" s="66" t="s">
        <v>1056</v>
      </c>
      <c r="C110" s="66" t="s">
        <v>1146</v>
      </c>
      <c r="D110" s="67">
        <v>30773144.566059999</v>
      </c>
      <c r="E110" s="67">
        <v>1793333.1932000001</v>
      </c>
      <c r="F110" s="68">
        <f t="shared" si="2"/>
        <v>5.827591617588164E-2</v>
      </c>
      <c r="G110" s="67">
        <v>17558956.370760001</v>
      </c>
      <c r="H110" s="67">
        <v>577762.98759999999</v>
      </c>
      <c r="I110" s="68">
        <f t="shared" si="3"/>
        <v>3.2904175817767736E-2</v>
      </c>
    </row>
    <row r="111" spans="2:9" ht="18" customHeight="1">
      <c r="B111" s="66" t="s">
        <v>1056</v>
      </c>
      <c r="C111" s="66" t="s">
        <v>1147</v>
      </c>
      <c r="D111" s="67">
        <v>21758891.8871</v>
      </c>
      <c r="E111" s="67">
        <v>726243.48600000003</v>
      </c>
      <c r="F111" s="68">
        <f t="shared" si="2"/>
        <v>3.3376859895634735E-2</v>
      </c>
      <c r="G111" s="67">
        <v>15690805.63295</v>
      </c>
      <c r="H111" s="67">
        <v>565415.61300000001</v>
      </c>
      <c r="I111" s="68">
        <f t="shared" si="3"/>
        <v>3.6034836338336394E-2</v>
      </c>
    </row>
    <row r="112" spans="2:9" ht="18" customHeight="1">
      <c r="B112" s="66" t="s">
        <v>1056</v>
      </c>
      <c r="C112" s="66" t="s">
        <v>1148</v>
      </c>
      <c r="D112" s="67">
        <v>42482095.891000003</v>
      </c>
      <c r="E112" s="67">
        <v>1814826.8711000001</v>
      </c>
      <c r="F112" s="68">
        <f t="shared" si="2"/>
        <v>4.2719805438894982E-2</v>
      </c>
      <c r="G112" s="67">
        <v>18406319.4498</v>
      </c>
      <c r="H112" s="67">
        <v>713150.40760000004</v>
      </c>
      <c r="I112" s="68">
        <f t="shared" si="3"/>
        <v>3.8744867464948242E-2</v>
      </c>
    </row>
    <row r="113" spans="2:9" ht="18" customHeight="1">
      <c r="B113" s="66" t="s">
        <v>1056</v>
      </c>
      <c r="C113" s="66" t="s">
        <v>1149</v>
      </c>
      <c r="D113" s="67">
        <v>28563361.308200002</v>
      </c>
      <c r="E113" s="67">
        <v>4110914.3757000002</v>
      </c>
      <c r="F113" s="68">
        <f t="shared" si="2"/>
        <v>0.14392264031333854</v>
      </c>
      <c r="G113" s="67">
        <v>8140845.6704000002</v>
      </c>
      <c r="H113" s="67">
        <v>1296056.8992000001</v>
      </c>
      <c r="I113" s="68">
        <f t="shared" si="3"/>
        <v>0.15920420944871178</v>
      </c>
    </row>
    <row r="114" spans="2:9" ht="18" customHeight="1">
      <c r="B114" s="66" t="s">
        <v>1056</v>
      </c>
      <c r="C114" s="66" t="s">
        <v>1150</v>
      </c>
      <c r="D114" s="67">
        <v>26333177.245259002</v>
      </c>
      <c r="E114" s="67">
        <v>3401642.0602739998</v>
      </c>
      <c r="F114" s="68">
        <f t="shared" si="2"/>
        <v>0.12917704645330741</v>
      </c>
      <c r="G114" s="67">
        <v>7597186.6384540005</v>
      </c>
      <c r="H114" s="67">
        <v>1259998.352374</v>
      </c>
      <c r="I114" s="68">
        <f t="shared" si="3"/>
        <v>0.1658506513445884</v>
      </c>
    </row>
    <row r="115" spans="2:9" ht="18" customHeight="1">
      <c r="B115" s="66" t="s">
        <v>1056</v>
      </c>
      <c r="C115" s="66" t="s">
        <v>1151</v>
      </c>
      <c r="D115" s="67">
        <v>41263323.943099998</v>
      </c>
      <c r="E115" s="67">
        <v>1706639.7531999999</v>
      </c>
      <c r="F115" s="68">
        <f t="shared" si="2"/>
        <v>4.1359725541097181E-2</v>
      </c>
      <c r="G115" s="67">
        <v>18101566.517000001</v>
      </c>
      <c r="H115" s="67">
        <v>477766.67340000003</v>
      </c>
      <c r="I115" s="68">
        <f t="shared" si="3"/>
        <v>2.6393664490380307E-2</v>
      </c>
    </row>
    <row r="116" spans="2:9" ht="18" customHeight="1">
      <c r="B116" s="66" t="s">
        <v>1056</v>
      </c>
      <c r="C116" s="66" t="s">
        <v>1152</v>
      </c>
      <c r="D116" s="67">
        <v>94455067.812099993</v>
      </c>
      <c r="E116" s="67">
        <v>4663097.727</v>
      </c>
      <c r="F116" s="68">
        <f t="shared" si="2"/>
        <v>4.936842283863823E-2</v>
      </c>
      <c r="G116" s="67">
        <v>38975285.467200004</v>
      </c>
      <c r="H116" s="67">
        <v>1469798.4354999999</v>
      </c>
      <c r="I116" s="68">
        <f t="shared" si="3"/>
        <v>3.771103708109904E-2</v>
      </c>
    </row>
    <row r="117" spans="2:9" ht="18" customHeight="1">
      <c r="B117" s="66" t="s">
        <v>1056</v>
      </c>
      <c r="C117" s="66" t="s">
        <v>1153</v>
      </c>
      <c r="D117" s="67">
        <v>28854076.994800001</v>
      </c>
      <c r="E117" s="67">
        <v>2258345.5660000001</v>
      </c>
      <c r="F117" s="68">
        <f t="shared" si="2"/>
        <v>7.826781520015326E-2</v>
      </c>
      <c r="G117" s="67">
        <v>14098079.35</v>
      </c>
      <c r="H117" s="67">
        <v>591170.848</v>
      </c>
      <c r="I117" s="68">
        <f t="shared" si="3"/>
        <v>4.1932722417256083E-2</v>
      </c>
    </row>
    <row r="118" spans="2:9" ht="18" customHeight="1">
      <c r="B118" s="66" t="s">
        <v>1056</v>
      </c>
      <c r="C118" s="66" t="s">
        <v>1154</v>
      </c>
      <c r="D118" s="67">
        <v>23316212.35825</v>
      </c>
      <c r="E118" s="67">
        <v>2561560.9065</v>
      </c>
      <c r="F118" s="68">
        <f t="shared" si="2"/>
        <v>0.10986179346550858</v>
      </c>
      <c r="G118" s="67">
        <v>10574450.400350001</v>
      </c>
      <c r="H118" s="67">
        <v>791171.33900000004</v>
      </c>
      <c r="I118" s="68">
        <f t="shared" si="3"/>
        <v>7.4819145113566687E-2</v>
      </c>
    </row>
    <row r="119" spans="2:9" ht="18" customHeight="1">
      <c r="B119" s="66" t="s">
        <v>1056</v>
      </c>
      <c r="C119" s="66" t="s">
        <v>1155</v>
      </c>
      <c r="D119" s="67">
        <v>21800004.340399999</v>
      </c>
      <c r="E119" s="67">
        <v>3297456.8061000002</v>
      </c>
      <c r="F119" s="68">
        <f t="shared" si="2"/>
        <v>0.15125945640245209</v>
      </c>
      <c r="G119" s="67">
        <v>5058889.0224000001</v>
      </c>
      <c r="H119" s="67">
        <v>1049436.8181</v>
      </c>
      <c r="I119" s="68">
        <f t="shared" si="3"/>
        <v>0.20744412724874009</v>
      </c>
    </row>
    <row r="120" spans="2:9" ht="18" customHeight="1">
      <c r="B120" s="66" t="s">
        <v>1056</v>
      </c>
      <c r="C120" s="66" t="s">
        <v>1156</v>
      </c>
      <c r="D120" s="67">
        <v>14111455.3178</v>
      </c>
      <c r="E120" s="67">
        <v>1841963.851</v>
      </c>
      <c r="F120" s="68">
        <f t="shared" si="2"/>
        <v>0.13052968737225645</v>
      </c>
      <c r="G120" s="67">
        <v>4901207.7270999998</v>
      </c>
      <c r="H120" s="67">
        <v>545886.77949999995</v>
      </c>
      <c r="I120" s="68">
        <f t="shared" si="3"/>
        <v>0.11137801331734132</v>
      </c>
    </row>
    <row r="121" spans="2:9" ht="18" customHeight="1">
      <c r="B121" s="66" t="s">
        <v>1056</v>
      </c>
      <c r="C121" s="66" t="s">
        <v>1157</v>
      </c>
      <c r="D121" s="67">
        <v>5182590.6766999997</v>
      </c>
      <c r="E121" s="67">
        <v>1122080.1905</v>
      </c>
      <c r="F121" s="68">
        <f t="shared" si="2"/>
        <v>0.21650951435247853</v>
      </c>
      <c r="G121" s="67">
        <v>1456693.9812</v>
      </c>
      <c r="H121" s="67">
        <v>537557.11600000004</v>
      </c>
      <c r="I121" s="68">
        <f t="shared" si="3"/>
        <v>0.36902542533825089</v>
      </c>
    </row>
    <row r="122" spans="2:9" ht="18" customHeight="1">
      <c r="B122" s="66" t="s">
        <v>1056</v>
      </c>
      <c r="C122" s="66" t="s">
        <v>1158</v>
      </c>
      <c r="D122" s="67">
        <v>7279824.4944000002</v>
      </c>
      <c r="E122" s="67">
        <v>1131350.5530000001</v>
      </c>
      <c r="F122" s="68">
        <f t="shared" si="2"/>
        <v>0.1554090423292884</v>
      </c>
      <c r="G122" s="67">
        <v>2982638.2463000002</v>
      </c>
      <c r="H122" s="67">
        <v>508415.13</v>
      </c>
      <c r="I122" s="68">
        <f t="shared" si="3"/>
        <v>0.17045819439574855</v>
      </c>
    </row>
    <row r="123" spans="2:9" ht="18" customHeight="1">
      <c r="B123" s="66" t="s">
        <v>1056</v>
      </c>
      <c r="C123" s="66" t="s">
        <v>1159</v>
      </c>
      <c r="D123" s="67">
        <v>11633574.069499999</v>
      </c>
      <c r="E123" s="67">
        <v>1915590.3245000001</v>
      </c>
      <c r="F123" s="68">
        <f t="shared" si="2"/>
        <v>0.16466051731446366</v>
      </c>
      <c r="G123" s="67">
        <v>6055324.0741999997</v>
      </c>
      <c r="H123" s="67">
        <v>842525.29200000002</v>
      </c>
      <c r="I123" s="68">
        <f t="shared" si="3"/>
        <v>0.13913793575306049</v>
      </c>
    </row>
    <row r="124" spans="2:9" ht="18" customHeight="1">
      <c r="B124" s="66" t="s">
        <v>1459</v>
      </c>
      <c r="C124" s="66" t="s">
        <v>1160</v>
      </c>
      <c r="D124" s="67">
        <v>22550587.388500001</v>
      </c>
      <c r="E124" s="67">
        <v>5119944.5532</v>
      </c>
      <c r="F124" s="68">
        <f t="shared" si="2"/>
        <v>0.22704262487685753</v>
      </c>
      <c r="G124" s="67">
        <v>12013590.6997</v>
      </c>
      <c r="H124" s="67">
        <v>2759134.4844</v>
      </c>
      <c r="I124" s="68">
        <f t="shared" si="3"/>
        <v>0.22966776156847929</v>
      </c>
    </row>
    <row r="125" spans="2:9" ht="18" customHeight="1">
      <c r="B125" s="66" t="s">
        <v>1057</v>
      </c>
      <c r="C125" s="66" t="s">
        <v>1161</v>
      </c>
      <c r="D125" s="67">
        <v>31666708.167490002</v>
      </c>
      <c r="E125" s="67">
        <v>5364842.1076999996</v>
      </c>
      <c r="F125" s="68">
        <f t="shared" si="2"/>
        <v>0.16941584453061997</v>
      </c>
      <c r="G125" s="67">
        <v>15832769.95679</v>
      </c>
      <c r="H125" s="67">
        <v>2761102.4610000001</v>
      </c>
      <c r="I125" s="68">
        <f t="shared" si="3"/>
        <v>0.1743916237358</v>
      </c>
    </row>
    <row r="126" spans="2:9" ht="18" customHeight="1">
      <c r="B126" s="66" t="s">
        <v>1057</v>
      </c>
      <c r="C126" s="66" t="s">
        <v>1162</v>
      </c>
      <c r="D126" s="67">
        <v>18028413.566443</v>
      </c>
      <c r="E126" s="67">
        <v>5084426.9519429998</v>
      </c>
      <c r="F126" s="68">
        <f t="shared" si="2"/>
        <v>0.28202298184499414</v>
      </c>
      <c r="G126" s="67">
        <v>8582504.9608430006</v>
      </c>
      <c r="H126" s="67">
        <v>2495004.0131430002</v>
      </c>
      <c r="I126" s="68">
        <f t="shared" si="3"/>
        <v>0.29070813527358952</v>
      </c>
    </row>
    <row r="127" spans="2:9" ht="18" customHeight="1">
      <c r="B127" s="66" t="s">
        <v>1057</v>
      </c>
      <c r="C127" s="66" t="s">
        <v>1163</v>
      </c>
      <c r="D127" s="67">
        <v>7689247.3431000002</v>
      </c>
      <c r="E127" s="67">
        <v>2225632.8705000002</v>
      </c>
      <c r="F127" s="68">
        <f t="shared" si="2"/>
        <v>0.28944742849209909</v>
      </c>
      <c r="G127" s="67">
        <v>3559979.0649000001</v>
      </c>
      <c r="H127" s="67">
        <v>1014953.3306</v>
      </c>
      <c r="I127" s="68">
        <f t="shared" si="3"/>
        <v>0.28510092674618298</v>
      </c>
    </row>
    <row r="128" spans="2:9" ht="18" customHeight="1">
      <c r="B128" s="66" t="s">
        <v>1057</v>
      </c>
      <c r="C128" s="66" t="s">
        <v>1164</v>
      </c>
      <c r="D128" s="67">
        <v>3297643.8451</v>
      </c>
      <c r="E128" s="67">
        <v>1116815.4890000001</v>
      </c>
      <c r="F128" s="68">
        <f t="shared" si="2"/>
        <v>0.33867074234213823</v>
      </c>
      <c r="G128" s="67">
        <v>1714690.8211999999</v>
      </c>
      <c r="H128" s="67">
        <v>667885.88950000005</v>
      </c>
      <c r="I128" s="68">
        <f t="shared" si="3"/>
        <v>0.3895080566376336</v>
      </c>
    </row>
    <row r="129" spans="2:9" ht="18" customHeight="1">
      <c r="B129" s="66" t="s">
        <v>1057</v>
      </c>
      <c r="C129" s="66" t="s">
        <v>1165</v>
      </c>
      <c r="D129" s="67">
        <v>8031777.7455000002</v>
      </c>
      <c r="E129" s="67">
        <v>2653187.85</v>
      </c>
      <c r="F129" s="68">
        <f t="shared" si="2"/>
        <v>0.33033631333816643</v>
      </c>
      <c r="G129" s="67">
        <v>3719111.7603000002</v>
      </c>
      <c r="H129" s="67">
        <v>1007356.497</v>
      </c>
      <c r="I129" s="68">
        <f t="shared" si="3"/>
        <v>0.27085943147853725</v>
      </c>
    </row>
    <row r="130" spans="2:9" ht="18" customHeight="1">
      <c r="B130" s="66" t="s">
        <v>1057</v>
      </c>
      <c r="C130" s="66" t="s">
        <v>1166</v>
      </c>
      <c r="D130" s="67">
        <v>5549423.1447000001</v>
      </c>
      <c r="E130" s="67">
        <v>1488117.1586</v>
      </c>
      <c r="F130" s="68">
        <f t="shared" si="2"/>
        <v>0.26815708944833888</v>
      </c>
      <c r="G130" s="67">
        <v>2702761.5359</v>
      </c>
      <c r="H130" s="67">
        <v>677397.24560000002</v>
      </c>
      <c r="I130" s="68">
        <f t="shared" si="3"/>
        <v>0.25063152505403391</v>
      </c>
    </row>
    <row r="131" spans="2:9" ht="18" customHeight="1">
      <c r="B131" s="66" t="s">
        <v>1057</v>
      </c>
      <c r="C131" s="66" t="s">
        <v>1167</v>
      </c>
      <c r="D131" s="67">
        <v>6910000.1617000001</v>
      </c>
      <c r="E131" s="67">
        <v>1254392.4645</v>
      </c>
      <c r="F131" s="68">
        <f t="shared" si="2"/>
        <v>0.18153291391405613</v>
      </c>
      <c r="G131" s="67">
        <v>2743295.0684000002</v>
      </c>
      <c r="H131" s="67">
        <v>636165.50100000005</v>
      </c>
      <c r="I131" s="68">
        <f t="shared" si="3"/>
        <v>0.23189831393931579</v>
      </c>
    </row>
    <row r="132" spans="2:9" ht="18" customHeight="1">
      <c r="B132" s="66" t="s">
        <v>1057</v>
      </c>
      <c r="C132" s="66" t="s">
        <v>1168</v>
      </c>
      <c r="D132" s="67">
        <v>7225474.6096000001</v>
      </c>
      <c r="E132" s="67">
        <v>1723594.0519999999</v>
      </c>
      <c r="F132" s="68">
        <f t="shared" si="2"/>
        <v>0.23854406044275306</v>
      </c>
      <c r="G132" s="67">
        <v>2107078.5301999999</v>
      </c>
      <c r="H132" s="67">
        <v>246596.837</v>
      </c>
      <c r="I132" s="68">
        <f t="shared" si="3"/>
        <v>0.11703258016519845</v>
      </c>
    </row>
    <row r="133" spans="2:9" ht="18" customHeight="1">
      <c r="B133" s="66" t="s">
        <v>1057</v>
      </c>
      <c r="C133" s="66" t="s">
        <v>1169</v>
      </c>
      <c r="D133" s="67">
        <v>4038398.1521999999</v>
      </c>
      <c r="E133" s="67">
        <v>875632.35730000003</v>
      </c>
      <c r="F133" s="68">
        <f t="shared" si="2"/>
        <v>0.21682665361338416</v>
      </c>
      <c r="G133" s="67">
        <v>1656799.0259</v>
      </c>
      <c r="H133" s="67">
        <v>388288.96549999999</v>
      </c>
      <c r="I133" s="68">
        <f t="shared" si="3"/>
        <v>0.2343609329979387</v>
      </c>
    </row>
    <row r="134" spans="2:9" ht="18" customHeight="1">
      <c r="B134" s="66" t="s">
        <v>1057</v>
      </c>
      <c r="C134" s="66" t="s">
        <v>1170</v>
      </c>
      <c r="D134" s="67">
        <v>6382266.8353300001</v>
      </c>
      <c r="E134" s="67">
        <v>1196497.2867300001</v>
      </c>
      <c r="F134" s="68">
        <f t="shared" ref="F134:F197" si="4">E134/D134</f>
        <v>0.18747215019381655</v>
      </c>
      <c r="G134" s="67">
        <v>2378987.5295299999</v>
      </c>
      <c r="H134" s="67">
        <v>552897.59282999998</v>
      </c>
      <c r="I134" s="68">
        <f t="shared" ref="I134:I197" si="5">H134/G134</f>
        <v>0.23240878145302096</v>
      </c>
    </row>
    <row r="135" spans="2:9" ht="18" customHeight="1">
      <c r="B135" s="66" t="s">
        <v>1057</v>
      </c>
      <c r="C135" s="66" t="s">
        <v>1171</v>
      </c>
      <c r="D135" s="67">
        <v>4102128.2283000001</v>
      </c>
      <c r="E135" s="67">
        <v>606920.72979999997</v>
      </c>
      <c r="F135" s="68">
        <f t="shared" si="4"/>
        <v>0.14795264702184102</v>
      </c>
      <c r="G135" s="67">
        <v>1465267.4645</v>
      </c>
      <c r="H135" s="67">
        <v>292480.21669999999</v>
      </c>
      <c r="I135" s="68">
        <f t="shared" si="5"/>
        <v>0.19960875661687089</v>
      </c>
    </row>
    <row r="136" spans="2:9" ht="18" customHeight="1">
      <c r="B136" s="66" t="s">
        <v>1057</v>
      </c>
      <c r="C136" s="66" t="s">
        <v>1172</v>
      </c>
      <c r="D136" s="67">
        <v>4966946.3766999999</v>
      </c>
      <c r="E136" s="67">
        <v>984142.31350000005</v>
      </c>
      <c r="F136" s="68">
        <f t="shared" si="4"/>
        <v>0.19813830044886782</v>
      </c>
      <c r="G136" s="67">
        <v>1428436.2056</v>
      </c>
      <c r="H136" s="67">
        <v>379312.10450000002</v>
      </c>
      <c r="I136" s="68">
        <f t="shared" si="5"/>
        <v>0.26554360846704655</v>
      </c>
    </row>
    <row r="137" spans="2:9" ht="18" customHeight="1">
      <c r="B137" s="66" t="s">
        <v>1057</v>
      </c>
      <c r="C137" s="66" t="s">
        <v>1173</v>
      </c>
      <c r="D137" s="67">
        <v>2543627.4463</v>
      </c>
      <c r="E137" s="67">
        <v>522227.826</v>
      </c>
      <c r="F137" s="68">
        <f t="shared" si="4"/>
        <v>0.20530829967243855</v>
      </c>
      <c r="G137" s="67">
        <v>643041.4081</v>
      </c>
      <c r="H137" s="67">
        <v>157091.68280000001</v>
      </c>
      <c r="I137" s="68">
        <f t="shared" si="5"/>
        <v>0.24429481650981102</v>
      </c>
    </row>
    <row r="138" spans="2:9" ht="18" customHeight="1">
      <c r="B138" s="66" t="s">
        <v>1057</v>
      </c>
      <c r="C138" s="66" t="s">
        <v>1174</v>
      </c>
      <c r="D138" s="67">
        <v>2159754.3831000002</v>
      </c>
      <c r="E138" s="67">
        <v>455320.30979999999</v>
      </c>
      <c r="F138" s="68">
        <f t="shared" si="4"/>
        <v>0.21082041243340674</v>
      </c>
      <c r="G138" s="67">
        <v>745109.16440000001</v>
      </c>
      <c r="H138" s="67">
        <v>182519.83960000001</v>
      </c>
      <c r="I138" s="68">
        <f t="shared" si="5"/>
        <v>0.24495717986098628</v>
      </c>
    </row>
    <row r="139" spans="2:9" ht="18" customHeight="1">
      <c r="B139" s="66" t="s">
        <v>1057</v>
      </c>
      <c r="C139" s="66" t="s">
        <v>1175</v>
      </c>
      <c r="D139" s="67">
        <v>3579159.5514000002</v>
      </c>
      <c r="E139" s="67">
        <v>397322.962</v>
      </c>
      <c r="F139" s="68">
        <f t="shared" si="4"/>
        <v>0.11101012857741584</v>
      </c>
      <c r="G139" s="67">
        <v>1103239.5009000001</v>
      </c>
      <c r="H139" s="67">
        <v>165591.038</v>
      </c>
      <c r="I139" s="68">
        <f t="shared" si="5"/>
        <v>0.15009527656045149</v>
      </c>
    </row>
    <row r="140" spans="2:9" ht="18" customHeight="1">
      <c r="B140" s="66" t="s">
        <v>1057</v>
      </c>
      <c r="C140" s="66" t="s">
        <v>1176</v>
      </c>
      <c r="D140" s="67">
        <v>3646410.2962000002</v>
      </c>
      <c r="E140" s="67">
        <v>847945.02029999997</v>
      </c>
      <c r="F140" s="68">
        <f t="shared" si="4"/>
        <v>0.23254240511103785</v>
      </c>
      <c r="G140" s="67">
        <v>1097850.6575</v>
      </c>
      <c r="H140" s="67">
        <v>314700.73830000003</v>
      </c>
      <c r="I140" s="68">
        <f t="shared" si="5"/>
        <v>0.28665168267661217</v>
      </c>
    </row>
    <row r="141" spans="2:9" ht="18" customHeight="1">
      <c r="B141" s="66" t="s">
        <v>1057</v>
      </c>
      <c r="C141" s="66" t="s">
        <v>1177</v>
      </c>
      <c r="D141" s="67">
        <v>3467403.7272999999</v>
      </c>
      <c r="E141" s="67">
        <v>531002.33470000001</v>
      </c>
      <c r="F141" s="68">
        <f t="shared" si="4"/>
        <v>0.15314119048763936</v>
      </c>
      <c r="G141" s="67">
        <v>1352992.6231</v>
      </c>
      <c r="H141" s="67">
        <v>206651.37469999999</v>
      </c>
      <c r="I141" s="68">
        <f t="shared" si="5"/>
        <v>0.15273651250700598</v>
      </c>
    </row>
    <row r="142" spans="2:9" ht="18" customHeight="1">
      <c r="B142" s="66" t="s">
        <v>1058</v>
      </c>
      <c r="C142" s="66" t="s">
        <v>1178</v>
      </c>
      <c r="D142" s="67">
        <v>13710330.2949</v>
      </c>
      <c r="E142" s="67">
        <v>3754915.7552999998</v>
      </c>
      <c r="F142" s="68">
        <f t="shared" si="4"/>
        <v>0.27387493040169586</v>
      </c>
      <c r="G142" s="67">
        <v>8037985.8080000002</v>
      </c>
      <c r="H142" s="67">
        <v>2029427.6762999999</v>
      </c>
      <c r="I142" s="68">
        <f t="shared" si="5"/>
        <v>0.25247962919767325</v>
      </c>
    </row>
    <row r="143" spans="2:9" ht="18" customHeight="1">
      <c r="B143" s="66" t="s">
        <v>1058</v>
      </c>
      <c r="C143" s="66" t="s">
        <v>1179</v>
      </c>
      <c r="D143" s="67">
        <v>14537333.2851</v>
      </c>
      <c r="E143" s="67">
        <v>3437695.3185000001</v>
      </c>
      <c r="F143" s="68">
        <f t="shared" si="4"/>
        <v>0.23647358501599852</v>
      </c>
      <c r="G143" s="67">
        <v>8069600.6051000003</v>
      </c>
      <c r="H143" s="67">
        <v>2168168.6285000001</v>
      </c>
      <c r="I143" s="68">
        <f t="shared" si="5"/>
        <v>0.26868351168826299</v>
      </c>
    </row>
    <row r="144" spans="2:9" ht="18" customHeight="1">
      <c r="B144" s="66" t="s">
        <v>1058</v>
      </c>
      <c r="C144" s="66" t="s">
        <v>1180</v>
      </c>
      <c r="D144" s="67">
        <v>26207471.862950001</v>
      </c>
      <c r="E144" s="67">
        <v>5571156.3952000001</v>
      </c>
      <c r="F144" s="68">
        <f t="shared" si="4"/>
        <v>0.21257893261639058</v>
      </c>
      <c r="G144" s="67">
        <v>11454377.3958</v>
      </c>
      <c r="H144" s="67">
        <v>2650883.9415000002</v>
      </c>
      <c r="I144" s="68">
        <f t="shared" si="5"/>
        <v>0.23142977133545514</v>
      </c>
    </row>
    <row r="145" spans="2:9" ht="18" customHeight="1">
      <c r="B145" s="66" t="s">
        <v>1058</v>
      </c>
      <c r="C145" s="66" t="s">
        <v>1181</v>
      </c>
      <c r="D145" s="67">
        <v>17671830.766100001</v>
      </c>
      <c r="E145" s="67">
        <v>3395232.5441000001</v>
      </c>
      <c r="F145" s="68">
        <f t="shared" si="4"/>
        <v>0.19212681408273211</v>
      </c>
      <c r="G145" s="67">
        <v>7688411.9033000004</v>
      </c>
      <c r="H145" s="67">
        <v>1904035.0795</v>
      </c>
      <c r="I145" s="68">
        <f t="shared" si="5"/>
        <v>0.2476499833057533</v>
      </c>
    </row>
    <row r="146" spans="2:9" ht="18" customHeight="1">
      <c r="B146" s="66" t="s">
        <v>1058</v>
      </c>
      <c r="C146" s="66" t="s">
        <v>1182</v>
      </c>
      <c r="D146" s="67">
        <v>21121832.801600002</v>
      </c>
      <c r="E146" s="67">
        <v>6178628.5100999996</v>
      </c>
      <c r="F146" s="68">
        <f t="shared" si="4"/>
        <v>0.29252331311097024</v>
      </c>
      <c r="G146" s="67">
        <v>9222361.2376000006</v>
      </c>
      <c r="H146" s="67">
        <v>2778736.6209999998</v>
      </c>
      <c r="I146" s="68">
        <f t="shared" si="5"/>
        <v>0.30130424838174413</v>
      </c>
    </row>
    <row r="147" spans="2:9" ht="18" customHeight="1">
      <c r="B147" s="66" t="s">
        <v>1058</v>
      </c>
      <c r="C147" s="66" t="s">
        <v>1183</v>
      </c>
      <c r="D147" s="67">
        <v>11359505.196900001</v>
      </c>
      <c r="E147" s="67">
        <v>3530745.0002000001</v>
      </c>
      <c r="F147" s="68">
        <f t="shared" si="4"/>
        <v>0.31081855582614087</v>
      </c>
      <c r="G147" s="67">
        <v>5602689.2438000003</v>
      </c>
      <c r="H147" s="67">
        <v>1926071.5597000001</v>
      </c>
      <c r="I147" s="68">
        <f t="shared" si="5"/>
        <v>0.34377626098599218</v>
      </c>
    </row>
    <row r="148" spans="2:9" ht="18" customHeight="1">
      <c r="B148" s="66" t="s">
        <v>1058</v>
      </c>
      <c r="C148" s="66" t="s">
        <v>1184</v>
      </c>
      <c r="D148" s="67">
        <v>5019149.8032</v>
      </c>
      <c r="E148" s="67">
        <v>1394497.0211</v>
      </c>
      <c r="F148" s="68">
        <f t="shared" si="4"/>
        <v>0.2778353059338709</v>
      </c>
      <c r="G148" s="67">
        <v>1477446.6313</v>
      </c>
      <c r="H148" s="67">
        <v>691064.04059999995</v>
      </c>
      <c r="I148" s="68">
        <f t="shared" si="5"/>
        <v>0.46774213427386896</v>
      </c>
    </row>
    <row r="149" spans="2:9" ht="18" customHeight="1">
      <c r="B149" s="66" t="s">
        <v>1058</v>
      </c>
      <c r="C149" s="66" t="s">
        <v>1185</v>
      </c>
      <c r="D149" s="67">
        <v>5454777.8130999999</v>
      </c>
      <c r="E149" s="67">
        <v>1876231.8825000001</v>
      </c>
      <c r="F149" s="68">
        <f t="shared" si="4"/>
        <v>0.34396119269864822</v>
      </c>
      <c r="G149" s="67">
        <v>2016788.703</v>
      </c>
      <c r="H149" s="67">
        <v>841985.33200000005</v>
      </c>
      <c r="I149" s="68">
        <f t="shared" si="5"/>
        <v>0.41748812394056733</v>
      </c>
    </row>
    <row r="150" spans="2:9" ht="18" customHeight="1">
      <c r="B150" s="66" t="s">
        <v>1058</v>
      </c>
      <c r="C150" s="66" t="s">
        <v>1186</v>
      </c>
      <c r="D150" s="67">
        <v>4967221.9830999998</v>
      </c>
      <c r="E150" s="67">
        <v>883670.41749999998</v>
      </c>
      <c r="F150" s="68">
        <f t="shared" si="4"/>
        <v>0.17790032748818466</v>
      </c>
      <c r="G150" s="67">
        <v>1930989.4723</v>
      </c>
      <c r="H150" s="67">
        <v>322662.3125</v>
      </c>
      <c r="I150" s="68">
        <f t="shared" si="5"/>
        <v>0.16709687811797191</v>
      </c>
    </row>
    <row r="151" spans="2:9" ht="18" customHeight="1">
      <c r="B151" s="66" t="s">
        <v>1058</v>
      </c>
      <c r="C151" s="66" t="s">
        <v>1187</v>
      </c>
      <c r="D151" s="67">
        <v>3682527.2324999999</v>
      </c>
      <c r="E151" s="67">
        <v>837576.62029999995</v>
      </c>
      <c r="F151" s="68">
        <f t="shared" si="4"/>
        <v>0.2274461442967754</v>
      </c>
      <c r="G151" s="67">
        <v>1598917.0974999999</v>
      </c>
      <c r="H151" s="67">
        <v>470057.94349999999</v>
      </c>
      <c r="I151" s="68">
        <f t="shared" si="5"/>
        <v>0.29398518799690304</v>
      </c>
    </row>
    <row r="152" spans="2:9" ht="18" customHeight="1">
      <c r="B152" s="66" t="s">
        <v>1058</v>
      </c>
      <c r="C152" s="66" t="s">
        <v>1188</v>
      </c>
      <c r="D152" s="67">
        <v>12190504.4703</v>
      </c>
      <c r="E152" s="67">
        <v>2032402.932</v>
      </c>
      <c r="F152" s="68">
        <f t="shared" si="4"/>
        <v>0.16672016625329894</v>
      </c>
      <c r="G152" s="67">
        <v>3913634.0088</v>
      </c>
      <c r="H152" s="67">
        <v>838278.58400000003</v>
      </c>
      <c r="I152" s="68">
        <f t="shared" si="5"/>
        <v>0.21419442444415832</v>
      </c>
    </row>
    <row r="153" spans="2:9" ht="18" customHeight="1">
      <c r="B153" s="66" t="s">
        <v>1058</v>
      </c>
      <c r="C153" s="66" t="s">
        <v>1189</v>
      </c>
      <c r="D153" s="67">
        <v>4959655.9938000003</v>
      </c>
      <c r="E153" s="67">
        <v>1202367.2685</v>
      </c>
      <c r="F153" s="68">
        <f t="shared" si="4"/>
        <v>0.24242956971271057</v>
      </c>
      <c r="G153" s="67">
        <v>1771100.5109999999</v>
      </c>
      <c r="H153" s="67">
        <v>603212.00049999997</v>
      </c>
      <c r="I153" s="68">
        <f t="shared" si="5"/>
        <v>0.34058597846567951</v>
      </c>
    </row>
    <row r="154" spans="2:9" ht="18" customHeight="1">
      <c r="B154" s="66" t="s">
        <v>1058</v>
      </c>
      <c r="C154" s="66" t="s">
        <v>1190</v>
      </c>
      <c r="D154" s="67">
        <v>17745766.1884</v>
      </c>
      <c r="E154" s="67">
        <v>3190055.9802000001</v>
      </c>
      <c r="F154" s="68">
        <f t="shared" si="4"/>
        <v>0.17976434189047674</v>
      </c>
      <c r="G154" s="67">
        <v>4210847.4961999999</v>
      </c>
      <c r="H154" s="67">
        <v>1105379.6683</v>
      </c>
      <c r="I154" s="68">
        <f t="shared" si="5"/>
        <v>0.26250764704671187</v>
      </c>
    </row>
    <row r="155" spans="2:9" ht="18" customHeight="1">
      <c r="B155" s="66" t="s">
        <v>1058</v>
      </c>
      <c r="C155" s="66" t="s">
        <v>1191</v>
      </c>
      <c r="D155" s="67">
        <v>3374241.7856000001</v>
      </c>
      <c r="E155" s="67">
        <v>1523798.331</v>
      </c>
      <c r="F155" s="68">
        <f t="shared" si="4"/>
        <v>0.4515972558644139</v>
      </c>
      <c r="G155" s="67">
        <v>1357802.6221</v>
      </c>
      <c r="H155" s="67">
        <v>671949.24899999995</v>
      </c>
      <c r="I155" s="68">
        <f t="shared" si="5"/>
        <v>0.49487991705359363</v>
      </c>
    </row>
    <row r="156" spans="2:9" ht="18" customHeight="1">
      <c r="B156" s="66" t="s">
        <v>1059</v>
      </c>
      <c r="C156" s="66" t="s">
        <v>1192</v>
      </c>
      <c r="D156" s="67">
        <v>24700244.339400001</v>
      </c>
      <c r="E156" s="67">
        <v>4445306.9329000004</v>
      </c>
      <c r="F156" s="68">
        <f t="shared" si="4"/>
        <v>0.17997016028740961</v>
      </c>
      <c r="G156" s="67">
        <v>10943815.563100001</v>
      </c>
      <c r="H156" s="67">
        <v>1880081.3478000001</v>
      </c>
      <c r="I156" s="68">
        <f t="shared" si="5"/>
        <v>0.17179395403365502</v>
      </c>
    </row>
    <row r="157" spans="2:9" ht="18" customHeight="1">
      <c r="B157" s="66" t="s">
        <v>1059</v>
      </c>
      <c r="C157" s="66" t="s">
        <v>1193</v>
      </c>
      <c r="D157" s="67">
        <v>35232618.060400002</v>
      </c>
      <c r="E157" s="67">
        <v>4835273.9669000003</v>
      </c>
      <c r="F157" s="68">
        <f t="shared" si="4"/>
        <v>0.13723856565557493</v>
      </c>
      <c r="G157" s="67">
        <v>14957129.8698</v>
      </c>
      <c r="H157" s="67">
        <v>2172153.2178000002</v>
      </c>
      <c r="I157" s="68">
        <f t="shared" si="5"/>
        <v>0.14522526960107524</v>
      </c>
    </row>
    <row r="158" spans="2:9" ht="18" customHeight="1">
      <c r="B158" s="66" t="s">
        <v>1059</v>
      </c>
      <c r="C158" s="66" t="s">
        <v>1194</v>
      </c>
      <c r="D158" s="67">
        <v>11597167.8926</v>
      </c>
      <c r="E158" s="67">
        <v>3203960.8166</v>
      </c>
      <c r="F158" s="68">
        <f t="shared" si="4"/>
        <v>0.27627096945318913</v>
      </c>
      <c r="G158" s="67">
        <v>4320685.3596000001</v>
      </c>
      <c r="H158" s="67">
        <v>1585241.173</v>
      </c>
      <c r="I158" s="68">
        <f t="shared" si="5"/>
        <v>0.36689576793130763</v>
      </c>
    </row>
    <row r="159" spans="2:9" ht="18" customHeight="1">
      <c r="B159" s="66" t="s">
        <v>1059</v>
      </c>
      <c r="C159" s="66" t="s">
        <v>1195</v>
      </c>
      <c r="D159" s="67">
        <v>10032670.3146</v>
      </c>
      <c r="E159" s="67">
        <v>2125366.7508</v>
      </c>
      <c r="F159" s="68">
        <f t="shared" si="4"/>
        <v>0.2118445721979989</v>
      </c>
      <c r="G159" s="67">
        <v>3579026.7659999998</v>
      </c>
      <c r="H159" s="67">
        <v>922364.23919999995</v>
      </c>
      <c r="I159" s="68">
        <f t="shared" si="5"/>
        <v>0.25771370249651832</v>
      </c>
    </row>
    <row r="160" spans="2:9" ht="18" customHeight="1">
      <c r="B160" s="66" t="s">
        <v>1059</v>
      </c>
      <c r="C160" s="66" t="s">
        <v>1196</v>
      </c>
      <c r="D160" s="67">
        <v>37581071.693899997</v>
      </c>
      <c r="E160" s="67">
        <v>4469136.4869999997</v>
      </c>
      <c r="F160" s="68">
        <f t="shared" si="4"/>
        <v>0.11891987869322554</v>
      </c>
      <c r="G160" s="67">
        <v>15496221.092499999</v>
      </c>
      <c r="H160" s="67">
        <v>1830960.2294999999</v>
      </c>
      <c r="I160" s="68">
        <f t="shared" si="5"/>
        <v>0.11815527273201881</v>
      </c>
    </row>
    <row r="161" spans="2:9" ht="18" customHeight="1">
      <c r="B161" s="66" t="s">
        <v>1059</v>
      </c>
      <c r="C161" s="66" t="s">
        <v>1197</v>
      </c>
      <c r="D161" s="67">
        <v>17780238.272</v>
      </c>
      <c r="E161" s="67">
        <v>3377786.6719999998</v>
      </c>
      <c r="F161" s="68">
        <f t="shared" si="4"/>
        <v>0.18997420733777667</v>
      </c>
      <c r="G161" s="67">
        <v>7846174.9686000003</v>
      </c>
      <c r="H161" s="67">
        <v>1811965.5660000001</v>
      </c>
      <c r="I161" s="68">
        <f t="shared" si="5"/>
        <v>0.23093616612571038</v>
      </c>
    </row>
    <row r="162" spans="2:9" ht="18" customHeight="1">
      <c r="B162" s="66" t="s">
        <v>1059</v>
      </c>
      <c r="C162" s="66" t="s">
        <v>1198</v>
      </c>
      <c r="D162" s="67">
        <v>11817899.67255</v>
      </c>
      <c r="E162" s="67">
        <v>3055666.6168999998</v>
      </c>
      <c r="F162" s="68">
        <f t="shared" si="4"/>
        <v>0.25856257893249363</v>
      </c>
      <c r="G162" s="67">
        <v>4155482.3793000001</v>
      </c>
      <c r="H162" s="67">
        <v>1510277.8149999999</v>
      </c>
      <c r="I162" s="68">
        <f t="shared" si="5"/>
        <v>0.36344223778285145</v>
      </c>
    </row>
    <row r="163" spans="2:9" ht="18" customHeight="1">
      <c r="B163" s="66" t="s">
        <v>1059</v>
      </c>
      <c r="C163" s="66" t="s">
        <v>1199</v>
      </c>
      <c r="D163" s="67">
        <v>3435968.557</v>
      </c>
      <c r="E163" s="67">
        <v>611258.07239999995</v>
      </c>
      <c r="F163" s="68">
        <f t="shared" si="4"/>
        <v>0.17789978640948312</v>
      </c>
      <c r="G163" s="67">
        <v>1793913.8672</v>
      </c>
      <c r="H163" s="67">
        <v>167220.61499999999</v>
      </c>
      <c r="I163" s="68">
        <f t="shared" si="5"/>
        <v>9.3215520576248989E-2</v>
      </c>
    </row>
    <row r="164" spans="2:9" ht="18" customHeight="1">
      <c r="B164" s="66" t="s">
        <v>1059</v>
      </c>
      <c r="C164" s="66" t="s">
        <v>1200</v>
      </c>
      <c r="D164" s="67">
        <v>22234677.203600001</v>
      </c>
      <c r="E164" s="67">
        <v>2018470.9431</v>
      </c>
      <c r="F164" s="68">
        <f t="shared" si="4"/>
        <v>9.0780312419970324E-2</v>
      </c>
      <c r="G164" s="67">
        <v>8199599.2199999997</v>
      </c>
      <c r="H164" s="67">
        <v>829510.91449999996</v>
      </c>
      <c r="I164" s="68">
        <f t="shared" si="5"/>
        <v>0.10116481211382915</v>
      </c>
    </row>
    <row r="165" spans="2:9" ht="18" customHeight="1">
      <c r="B165" s="66" t="s">
        <v>1059</v>
      </c>
      <c r="C165" s="66" t="s">
        <v>1201</v>
      </c>
      <c r="D165" s="67">
        <v>5739650.8367999997</v>
      </c>
      <c r="E165" s="67">
        <v>1467517.7394999999</v>
      </c>
      <c r="F165" s="68">
        <f t="shared" si="4"/>
        <v>0.2556806644214229</v>
      </c>
      <c r="G165" s="67">
        <v>2004719.0423999999</v>
      </c>
      <c r="H165" s="67">
        <v>724429.88249999995</v>
      </c>
      <c r="I165" s="68">
        <f t="shared" si="5"/>
        <v>0.36136229924405289</v>
      </c>
    </row>
    <row r="166" spans="2:9" ht="18" customHeight="1">
      <c r="B166" s="66" t="s">
        <v>1059</v>
      </c>
      <c r="C166" s="66" t="s">
        <v>1202</v>
      </c>
      <c r="D166" s="67">
        <v>7191925.7781999996</v>
      </c>
      <c r="E166" s="67">
        <v>2529237.5225</v>
      </c>
      <c r="F166" s="68">
        <f t="shared" si="4"/>
        <v>0.35167736716173664</v>
      </c>
      <c r="G166" s="67">
        <v>2573869.0805000002</v>
      </c>
      <c r="H166" s="67">
        <v>1349913.895</v>
      </c>
      <c r="I166" s="68">
        <f t="shared" si="5"/>
        <v>0.52446874832412438</v>
      </c>
    </row>
    <row r="167" spans="2:9" ht="18" customHeight="1">
      <c r="B167" s="66" t="s">
        <v>1059</v>
      </c>
      <c r="C167" s="66" t="s">
        <v>1203</v>
      </c>
      <c r="D167" s="67">
        <v>10969466.0711</v>
      </c>
      <c r="E167" s="67">
        <v>7173012.5105999997</v>
      </c>
      <c r="F167" s="68">
        <f t="shared" si="4"/>
        <v>0.65390716960216655</v>
      </c>
      <c r="G167" s="67">
        <v>1763943.8722999999</v>
      </c>
      <c r="H167" s="67">
        <v>602074.10649999999</v>
      </c>
      <c r="I167" s="68">
        <f t="shared" si="5"/>
        <v>0.34132271210815668</v>
      </c>
    </row>
    <row r="168" spans="2:9" ht="18" customHeight="1">
      <c r="B168" s="66" t="s">
        <v>1059</v>
      </c>
      <c r="C168" s="66" t="s">
        <v>1204</v>
      </c>
      <c r="D168" s="67">
        <v>3642304.8640999999</v>
      </c>
      <c r="E168" s="67">
        <v>1037285.9335</v>
      </c>
      <c r="F168" s="68">
        <f t="shared" si="4"/>
        <v>0.28478833381683705</v>
      </c>
      <c r="G168" s="67">
        <v>1277241.3633000001</v>
      </c>
      <c r="H168" s="67">
        <v>581369.81900000002</v>
      </c>
      <c r="I168" s="68">
        <f t="shared" si="5"/>
        <v>0.4551761598903426</v>
      </c>
    </row>
    <row r="169" spans="2:9" ht="18" customHeight="1">
      <c r="B169" s="66" t="s">
        <v>1059</v>
      </c>
      <c r="C169" s="66" t="s">
        <v>1205</v>
      </c>
      <c r="D169" s="67">
        <v>11638576.368100001</v>
      </c>
      <c r="E169" s="67">
        <v>1486776.8245999999</v>
      </c>
      <c r="F169" s="68">
        <f t="shared" si="4"/>
        <v>0.12774559169238983</v>
      </c>
      <c r="G169" s="67">
        <v>4091619.4218000001</v>
      </c>
      <c r="H169" s="67">
        <v>576698.39210000006</v>
      </c>
      <c r="I169" s="68">
        <f t="shared" si="5"/>
        <v>0.14094624466473393</v>
      </c>
    </row>
    <row r="170" spans="2:9" ht="18" customHeight="1">
      <c r="B170" s="66" t="s">
        <v>1059</v>
      </c>
      <c r="C170" s="66" t="s">
        <v>1206</v>
      </c>
      <c r="D170" s="67">
        <v>10797254.9132</v>
      </c>
      <c r="E170" s="67">
        <v>2487569.1436999999</v>
      </c>
      <c r="F170" s="68">
        <f t="shared" si="4"/>
        <v>0.23038903533331093</v>
      </c>
      <c r="G170" s="67">
        <v>3522380.5795999998</v>
      </c>
      <c r="H170" s="67">
        <v>1234335.148</v>
      </c>
      <c r="I170" s="68">
        <f t="shared" si="5"/>
        <v>0.35042640058507551</v>
      </c>
    </row>
    <row r="171" spans="2:9" ht="18" customHeight="1">
      <c r="B171" s="66" t="s">
        <v>1059</v>
      </c>
      <c r="C171" s="66" t="s">
        <v>1207</v>
      </c>
      <c r="D171" s="67">
        <v>6215975.5280999998</v>
      </c>
      <c r="E171" s="67">
        <v>1043636.68</v>
      </c>
      <c r="F171" s="68">
        <f t="shared" si="4"/>
        <v>0.16789587978300846</v>
      </c>
      <c r="G171" s="67">
        <v>2749958.4764</v>
      </c>
      <c r="H171" s="67">
        <v>625220.82499999995</v>
      </c>
      <c r="I171" s="68">
        <f t="shared" si="5"/>
        <v>0.22735646023953177</v>
      </c>
    </row>
    <row r="172" spans="2:9" ht="18" customHeight="1">
      <c r="B172" s="66" t="s">
        <v>1060</v>
      </c>
      <c r="C172" s="66" t="s">
        <v>1208</v>
      </c>
      <c r="D172" s="67">
        <v>23306012.473749999</v>
      </c>
      <c r="E172" s="67">
        <v>5938313.0916499998</v>
      </c>
      <c r="F172" s="68">
        <f t="shared" si="4"/>
        <v>0.25479747332747005</v>
      </c>
      <c r="G172" s="67">
        <v>13613754.0573</v>
      </c>
      <c r="H172" s="67">
        <v>3472961.1179</v>
      </c>
      <c r="I172" s="68">
        <f t="shared" si="5"/>
        <v>0.25510679150529536</v>
      </c>
    </row>
    <row r="173" spans="2:9" ht="18" customHeight="1">
      <c r="B173" s="66" t="s">
        <v>1060</v>
      </c>
      <c r="C173" s="66" t="s">
        <v>1209</v>
      </c>
      <c r="D173" s="67">
        <v>24721708.258200001</v>
      </c>
      <c r="E173" s="67">
        <v>5674513.6227000002</v>
      </c>
      <c r="F173" s="68">
        <f t="shared" si="4"/>
        <v>0.22953566005366186</v>
      </c>
      <c r="G173" s="67">
        <v>12876921.0032</v>
      </c>
      <c r="H173" s="67">
        <v>2839005.7563</v>
      </c>
      <c r="I173" s="68">
        <f t="shared" si="5"/>
        <v>0.22047240606620855</v>
      </c>
    </row>
    <row r="174" spans="2:9" ht="18" customHeight="1">
      <c r="B174" s="66" t="s">
        <v>1060</v>
      </c>
      <c r="C174" s="66" t="s">
        <v>1210</v>
      </c>
      <c r="D174" s="67">
        <v>26561809.366799999</v>
      </c>
      <c r="E174" s="67">
        <v>6220253.8838</v>
      </c>
      <c r="F174" s="68">
        <f t="shared" si="4"/>
        <v>0.23418035262216691</v>
      </c>
      <c r="G174" s="67">
        <v>11374158.5923</v>
      </c>
      <c r="H174" s="67">
        <v>3383216.4939999999</v>
      </c>
      <c r="I174" s="68">
        <f t="shared" si="5"/>
        <v>0.29744762801974178</v>
      </c>
    </row>
    <row r="175" spans="2:9" ht="18" customHeight="1">
      <c r="B175" s="66" t="s">
        <v>1060</v>
      </c>
      <c r="C175" s="66" t="s">
        <v>1211</v>
      </c>
      <c r="D175" s="67">
        <v>26054920.154300001</v>
      </c>
      <c r="E175" s="67">
        <v>8387000.2034999998</v>
      </c>
      <c r="F175" s="68">
        <f t="shared" si="4"/>
        <v>0.32189698351909335</v>
      </c>
      <c r="G175" s="67">
        <v>11220007.037599999</v>
      </c>
      <c r="H175" s="67">
        <v>4304427.5140000004</v>
      </c>
      <c r="I175" s="68">
        <f t="shared" si="5"/>
        <v>0.38363857523218925</v>
      </c>
    </row>
    <row r="176" spans="2:9" ht="18" customHeight="1">
      <c r="B176" s="66" t="s">
        <v>1060</v>
      </c>
      <c r="C176" s="66" t="s">
        <v>1212</v>
      </c>
      <c r="D176" s="67">
        <v>12911617.141799999</v>
      </c>
      <c r="E176" s="67">
        <v>3030431.2944</v>
      </c>
      <c r="F176" s="68">
        <f t="shared" si="4"/>
        <v>0.23470578945446718</v>
      </c>
      <c r="G176" s="67">
        <v>3749509.5159</v>
      </c>
      <c r="H176" s="67">
        <v>1205178.6850000001</v>
      </c>
      <c r="I176" s="68">
        <f t="shared" si="5"/>
        <v>0.32142302343529838</v>
      </c>
    </row>
    <row r="177" spans="2:9" ht="18" customHeight="1">
      <c r="B177" s="66" t="s">
        <v>1060</v>
      </c>
      <c r="C177" s="66" t="s">
        <v>1213</v>
      </c>
      <c r="D177" s="67">
        <v>9074777.1576000005</v>
      </c>
      <c r="E177" s="67">
        <v>2732822.551</v>
      </c>
      <c r="F177" s="68">
        <f t="shared" si="4"/>
        <v>0.30114486598839496</v>
      </c>
      <c r="G177" s="67">
        <v>3143701.1516999998</v>
      </c>
      <c r="H177" s="67">
        <v>1214931.3119999999</v>
      </c>
      <c r="I177" s="68">
        <f t="shared" si="5"/>
        <v>0.38646526923941515</v>
      </c>
    </row>
    <row r="178" spans="2:9" ht="18" customHeight="1">
      <c r="B178" s="66" t="s">
        <v>1060</v>
      </c>
      <c r="C178" s="66" t="s">
        <v>1214</v>
      </c>
      <c r="D178" s="67">
        <v>9708766.8609999996</v>
      </c>
      <c r="E178" s="67">
        <v>2629993.2747999998</v>
      </c>
      <c r="F178" s="68">
        <f t="shared" si="4"/>
        <v>0.27088849824632738</v>
      </c>
      <c r="G178" s="67">
        <v>2918926.9684000001</v>
      </c>
      <c r="H178" s="67">
        <v>1231505.037</v>
      </c>
      <c r="I178" s="68">
        <f t="shared" si="5"/>
        <v>0.42190333993695134</v>
      </c>
    </row>
    <row r="179" spans="2:9" ht="18" customHeight="1">
      <c r="B179" s="66" t="s">
        <v>1060</v>
      </c>
      <c r="C179" s="66" t="s">
        <v>1215</v>
      </c>
      <c r="D179" s="67">
        <v>11834661.958799999</v>
      </c>
      <c r="E179" s="67">
        <v>1986425.7179</v>
      </c>
      <c r="F179" s="68">
        <f t="shared" si="4"/>
        <v>0.16784811639025624</v>
      </c>
      <c r="G179" s="67">
        <v>4132535.1542000002</v>
      </c>
      <c r="H179" s="67">
        <v>741159.98899999994</v>
      </c>
      <c r="I179" s="68">
        <f t="shared" si="5"/>
        <v>0.17934753398207401</v>
      </c>
    </row>
    <row r="180" spans="2:9" ht="18" customHeight="1">
      <c r="B180" s="66" t="s">
        <v>1060</v>
      </c>
      <c r="C180" s="66" t="s">
        <v>1216</v>
      </c>
      <c r="D180" s="67">
        <v>3055153.7072999999</v>
      </c>
      <c r="E180" s="67">
        <v>736281</v>
      </c>
      <c r="F180" s="68">
        <f t="shared" si="4"/>
        <v>0.24099638530157302</v>
      </c>
      <c r="G180" s="67">
        <v>967329.08429999999</v>
      </c>
      <c r="H180" s="67">
        <v>340021.89500000002</v>
      </c>
      <c r="I180" s="68">
        <f t="shared" si="5"/>
        <v>0.35150591512096852</v>
      </c>
    </row>
    <row r="181" spans="2:9" ht="18" customHeight="1">
      <c r="B181" s="66" t="s">
        <v>1060</v>
      </c>
      <c r="C181" s="66" t="s">
        <v>1217</v>
      </c>
      <c r="D181" s="67">
        <v>2766338.9512</v>
      </c>
      <c r="E181" s="67">
        <v>816314.58400000003</v>
      </c>
      <c r="F181" s="68">
        <f t="shared" si="4"/>
        <v>0.29508841772476724</v>
      </c>
      <c r="G181" s="67">
        <v>961940.03090000001</v>
      </c>
      <c r="H181" s="67">
        <v>335978.14500000002</v>
      </c>
      <c r="I181" s="68">
        <f t="shared" si="5"/>
        <v>0.3492714038375716</v>
      </c>
    </row>
    <row r="182" spans="2:9" ht="18" customHeight="1">
      <c r="B182" s="66" t="s">
        <v>1060</v>
      </c>
      <c r="C182" s="66" t="s">
        <v>1218</v>
      </c>
      <c r="D182" s="67">
        <v>2981286.9111000001</v>
      </c>
      <c r="E182" s="67">
        <v>577013.45400000003</v>
      </c>
      <c r="F182" s="68">
        <f t="shared" si="4"/>
        <v>0.19354509351369353</v>
      </c>
      <c r="G182" s="67">
        <v>804902.0662</v>
      </c>
      <c r="H182" s="67">
        <v>292226.72600000002</v>
      </c>
      <c r="I182" s="68">
        <f t="shared" si="5"/>
        <v>0.36305873505782288</v>
      </c>
    </row>
    <row r="183" spans="2:9" ht="18" customHeight="1">
      <c r="B183" s="66" t="s">
        <v>1060</v>
      </c>
      <c r="C183" s="66" t="s">
        <v>1219</v>
      </c>
      <c r="D183" s="67">
        <v>4283948.1025999999</v>
      </c>
      <c r="E183" s="67">
        <v>653262.84900000005</v>
      </c>
      <c r="F183" s="68">
        <f t="shared" si="4"/>
        <v>0.15249084100797669</v>
      </c>
      <c r="G183" s="67">
        <v>736742.9754</v>
      </c>
      <c r="H183" s="67">
        <v>232542.245</v>
      </c>
      <c r="I183" s="68">
        <f t="shared" si="5"/>
        <v>0.31563551029956655</v>
      </c>
    </row>
    <row r="184" spans="2:9" ht="18" customHeight="1">
      <c r="B184" s="66" t="s">
        <v>1060</v>
      </c>
      <c r="C184" s="66" t="s">
        <v>1220</v>
      </c>
      <c r="D184" s="67">
        <v>3562950.0021000002</v>
      </c>
      <c r="E184" s="67">
        <v>1040174.759</v>
      </c>
      <c r="F184" s="68">
        <f t="shared" si="4"/>
        <v>0.29194200266265924</v>
      </c>
      <c r="G184" s="67">
        <v>989027.88910000003</v>
      </c>
      <c r="H184" s="67">
        <v>407373.67</v>
      </c>
      <c r="I184" s="68">
        <f t="shared" si="5"/>
        <v>0.41189300573789045</v>
      </c>
    </row>
    <row r="185" spans="2:9" ht="18" customHeight="1">
      <c r="B185" s="66" t="s">
        <v>1060</v>
      </c>
      <c r="C185" s="66" t="s">
        <v>1221</v>
      </c>
      <c r="D185" s="67">
        <v>5714799.9466000004</v>
      </c>
      <c r="E185" s="67">
        <v>768565.5575</v>
      </c>
      <c r="F185" s="68">
        <f t="shared" si="4"/>
        <v>0.1344868700009797</v>
      </c>
      <c r="G185" s="67">
        <v>1486626.3489000001</v>
      </c>
      <c r="H185" s="67">
        <v>264378.83350000001</v>
      </c>
      <c r="I185" s="68">
        <f t="shared" si="5"/>
        <v>0.17783811897025903</v>
      </c>
    </row>
    <row r="186" spans="2:9" ht="18" customHeight="1">
      <c r="B186" s="66" t="s">
        <v>1060</v>
      </c>
      <c r="C186" s="66" t="s">
        <v>1222</v>
      </c>
      <c r="D186" s="67">
        <v>6069103.9364</v>
      </c>
      <c r="E186" s="67">
        <v>1629841.6983</v>
      </c>
      <c r="F186" s="68">
        <f t="shared" si="4"/>
        <v>0.26854733670400288</v>
      </c>
      <c r="G186" s="67">
        <v>2042244.6366000001</v>
      </c>
      <c r="H186" s="67">
        <v>855340.17850000004</v>
      </c>
      <c r="I186" s="68">
        <f t="shared" si="5"/>
        <v>0.41882356460683384</v>
      </c>
    </row>
    <row r="187" spans="2:9" ht="18" customHeight="1">
      <c r="B187" s="66" t="s">
        <v>1061</v>
      </c>
      <c r="C187" s="66" t="s">
        <v>1223</v>
      </c>
      <c r="D187" s="67">
        <v>16225649.441299999</v>
      </c>
      <c r="E187" s="67">
        <v>4579095.6169999996</v>
      </c>
      <c r="F187" s="68">
        <f t="shared" si="4"/>
        <v>0.28221339512886223</v>
      </c>
      <c r="G187" s="67">
        <v>8943905.8388</v>
      </c>
      <c r="H187" s="67">
        <v>2808035.7590000001</v>
      </c>
      <c r="I187" s="68">
        <f t="shared" si="5"/>
        <v>0.31396079180734676</v>
      </c>
    </row>
    <row r="188" spans="2:9" ht="18" customHeight="1">
      <c r="B188" s="66" t="s">
        <v>1061</v>
      </c>
      <c r="C188" s="66" t="s">
        <v>1224</v>
      </c>
      <c r="D188" s="67">
        <v>24704494.259500001</v>
      </c>
      <c r="E188" s="67">
        <v>7707439.8512000004</v>
      </c>
      <c r="F188" s="68">
        <f t="shared" si="4"/>
        <v>0.31198533231402376</v>
      </c>
      <c r="G188" s="67">
        <v>11315263.0318</v>
      </c>
      <c r="H188" s="67">
        <v>4216214.5626999997</v>
      </c>
      <c r="I188" s="68">
        <f t="shared" si="5"/>
        <v>0.37261304053214717</v>
      </c>
    </row>
    <row r="189" spans="2:9" ht="18" customHeight="1">
      <c r="B189" s="66" t="s">
        <v>1061</v>
      </c>
      <c r="C189" s="66" t="s">
        <v>1225</v>
      </c>
      <c r="D189" s="67">
        <v>21351582.980700001</v>
      </c>
      <c r="E189" s="67">
        <v>5355415.3228000002</v>
      </c>
      <c r="F189" s="68">
        <f t="shared" si="4"/>
        <v>0.25082052827843426</v>
      </c>
      <c r="G189" s="67">
        <v>11312957.7096</v>
      </c>
      <c r="H189" s="67">
        <v>3251803.0639999998</v>
      </c>
      <c r="I189" s="68">
        <f t="shared" si="5"/>
        <v>0.28744057455819627</v>
      </c>
    </row>
    <row r="190" spans="2:9" ht="18" customHeight="1">
      <c r="B190" s="66" t="s">
        <v>1061</v>
      </c>
      <c r="C190" s="66" t="s">
        <v>1226</v>
      </c>
      <c r="D190" s="67">
        <v>15251791.723999999</v>
      </c>
      <c r="E190" s="67">
        <v>3393645.1069</v>
      </c>
      <c r="F190" s="68">
        <f t="shared" si="4"/>
        <v>0.22250796288804606</v>
      </c>
      <c r="G190" s="67">
        <v>5352697.5398000004</v>
      </c>
      <c r="H190" s="67">
        <v>1591756.2559</v>
      </c>
      <c r="I190" s="68">
        <f t="shared" si="5"/>
        <v>0.29737459366319335</v>
      </c>
    </row>
    <row r="191" spans="2:9" ht="18" customHeight="1">
      <c r="B191" s="66" t="s">
        <v>1061</v>
      </c>
      <c r="C191" s="66" t="s">
        <v>1227</v>
      </c>
      <c r="D191" s="67">
        <v>17867192.248100001</v>
      </c>
      <c r="E191" s="67">
        <v>5894683.6505000005</v>
      </c>
      <c r="F191" s="68">
        <f t="shared" si="4"/>
        <v>0.32991661860731597</v>
      </c>
      <c r="G191" s="67">
        <v>6498500.3272000002</v>
      </c>
      <c r="H191" s="67">
        <v>1918344.8525</v>
      </c>
      <c r="I191" s="68">
        <f t="shared" si="5"/>
        <v>0.29519808508289397</v>
      </c>
    </row>
    <row r="192" spans="2:9" ht="18" customHeight="1">
      <c r="B192" s="66" t="s">
        <v>1061</v>
      </c>
      <c r="C192" s="66" t="s">
        <v>1228</v>
      </c>
      <c r="D192" s="67">
        <v>5421820.4447999997</v>
      </c>
      <c r="E192" s="67">
        <v>1272585.3030000001</v>
      </c>
      <c r="F192" s="68">
        <f t="shared" si="4"/>
        <v>0.23471550117830273</v>
      </c>
      <c r="G192" s="67">
        <v>1955345.9006000001</v>
      </c>
      <c r="H192" s="67">
        <v>576610.554</v>
      </c>
      <c r="I192" s="68">
        <f t="shared" si="5"/>
        <v>0.29488928471584819</v>
      </c>
    </row>
    <row r="193" spans="2:9" ht="18" customHeight="1">
      <c r="B193" s="66" t="s">
        <v>1061</v>
      </c>
      <c r="C193" s="66" t="s">
        <v>1229</v>
      </c>
      <c r="D193" s="67">
        <v>3430538.1272</v>
      </c>
      <c r="E193" s="67">
        <v>1172219.446</v>
      </c>
      <c r="F193" s="68">
        <f t="shared" si="4"/>
        <v>0.34170133155079191</v>
      </c>
      <c r="G193" s="67">
        <v>1023349.9603</v>
      </c>
      <c r="H193" s="67">
        <v>462029.36700000003</v>
      </c>
      <c r="I193" s="68">
        <f t="shared" si="5"/>
        <v>0.45148715974401743</v>
      </c>
    </row>
    <row r="194" spans="2:9" ht="18" customHeight="1">
      <c r="B194" s="66" t="s">
        <v>1061</v>
      </c>
      <c r="C194" s="66" t="s">
        <v>1230</v>
      </c>
      <c r="D194" s="67">
        <v>2399058.3363999999</v>
      </c>
      <c r="E194" s="67">
        <v>814446.92299999995</v>
      </c>
      <c r="F194" s="68">
        <f t="shared" si="4"/>
        <v>0.33948608528717561</v>
      </c>
      <c r="G194" s="67">
        <v>988373.84779999999</v>
      </c>
      <c r="H194" s="67">
        <v>387157.967</v>
      </c>
      <c r="I194" s="68">
        <f t="shared" si="5"/>
        <v>0.3917120711578585</v>
      </c>
    </row>
    <row r="195" spans="2:9" ht="18" customHeight="1">
      <c r="B195" s="66" t="s">
        <v>1061</v>
      </c>
      <c r="C195" s="66" t="s">
        <v>1231</v>
      </c>
      <c r="D195" s="67">
        <v>6503870.1873000003</v>
      </c>
      <c r="E195" s="67">
        <v>1950058.7660000001</v>
      </c>
      <c r="F195" s="68">
        <f t="shared" si="4"/>
        <v>0.29983051780582082</v>
      </c>
      <c r="G195" s="67">
        <v>2395424.7105999999</v>
      </c>
      <c r="H195" s="67">
        <v>1110055.959</v>
      </c>
      <c r="I195" s="68">
        <f t="shared" si="5"/>
        <v>0.46340674122959852</v>
      </c>
    </row>
    <row r="196" spans="2:9" ht="18" customHeight="1">
      <c r="B196" s="66" t="s">
        <v>1061</v>
      </c>
      <c r="C196" s="66" t="s">
        <v>1232</v>
      </c>
      <c r="D196" s="67">
        <v>4729450.2714999998</v>
      </c>
      <c r="E196" s="67">
        <v>1641319.31</v>
      </c>
      <c r="F196" s="68">
        <f t="shared" si="4"/>
        <v>0.34704230212350595</v>
      </c>
      <c r="G196" s="67">
        <v>1842588.5963999999</v>
      </c>
      <c r="H196" s="67">
        <v>1006441.632</v>
      </c>
      <c r="I196" s="68">
        <f t="shared" si="5"/>
        <v>0.54621071353983119</v>
      </c>
    </row>
    <row r="197" spans="2:9" ht="18" customHeight="1">
      <c r="B197" s="66" t="s">
        <v>1061</v>
      </c>
      <c r="C197" s="66" t="s">
        <v>1233</v>
      </c>
      <c r="D197" s="67">
        <v>6080694.2894000001</v>
      </c>
      <c r="E197" s="67">
        <v>1439486.7960000001</v>
      </c>
      <c r="F197" s="68">
        <f t="shared" si="4"/>
        <v>0.23673066388312683</v>
      </c>
      <c r="G197" s="67">
        <v>2621398.6332</v>
      </c>
      <c r="H197" s="67">
        <v>851193.304</v>
      </c>
      <c r="I197" s="68">
        <f t="shared" si="5"/>
        <v>0.32470960090527295</v>
      </c>
    </row>
    <row r="198" spans="2:9" ht="18" customHeight="1">
      <c r="B198" s="66" t="s">
        <v>1061</v>
      </c>
      <c r="C198" s="66" t="s">
        <v>1234</v>
      </c>
      <c r="D198" s="67">
        <v>5111212.8618999999</v>
      </c>
      <c r="E198" s="67">
        <v>1399986.452</v>
      </c>
      <c r="F198" s="68">
        <f t="shared" ref="F198:F255" si="6">E198/D198</f>
        <v>0.27390493994796777</v>
      </c>
      <c r="G198" s="67">
        <v>1484617.3341000001</v>
      </c>
      <c r="H198" s="67">
        <v>774778.7</v>
      </c>
      <c r="I198" s="68">
        <f t="shared" ref="I198:I254" si="7">H198/G198</f>
        <v>0.52187097793094528</v>
      </c>
    </row>
    <row r="199" spans="2:9" ht="18" customHeight="1">
      <c r="B199" s="66" t="s">
        <v>1061</v>
      </c>
      <c r="C199" s="66" t="s">
        <v>1235</v>
      </c>
      <c r="D199" s="67">
        <v>4275328.0795999998</v>
      </c>
      <c r="E199" s="67">
        <v>1492550.8118</v>
      </c>
      <c r="F199" s="68">
        <f t="shared" si="6"/>
        <v>0.3491079009636246</v>
      </c>
      <c r="G199" s="67">
        <v>1424511.8517</v>
      </c>
      <c r="H199" s="67">
        <v>773192.14179999998</v>
      </c>
      <c r="I199" s="68">
        <f t="shared" si="7"/>
        <v>0.54277691047447529</v>
      </c>
    </row>
    <row r="200" spans="2:9" ht="18" customHeight="1">
      <c r="B200" s="66" t="s">
        <v>1061</v>
      </c>
      <c r="C200" s="66" t="s">
        <v>1236</v>
      </c>
      <c r="D200" s="67">
        <v>7329047.1437999997</v>
      </c>
      <c r="E200" s="67">
        <v>1950598.3984999999</v>
      </c>
      <c r="F200" s="68">
        <f t="shared" si="6"/>
        <v>0.26614624796759656</v>
      </c>
      <c r="G200" s="67">
        <v>2624339.0989999999</v>
      </c>
      <c r="H200" s="67">
        <v>1091871.3355</v>
      </c>
      <c r="I200" s="68">
        <f t="shared" si="7"/>
        <v>0.41605573605791102</v>
      </c>
    </row>
    <row r="201" spans="2:9" ht="18" customHeight="1">
      <c r="B201" s="66" t="s">
        <v>1061</v>
      </c>
      <c r="C201" s="66" t="s">
        <v>1237</v>
      </c>
      <c r="D201" s="67">
        <v>9330918.1558999997</v>
      </c>
      <c r="E201" s="67">
        <v>1400456.8149999999</v>
      </c>
      <c r="F201" s="68">
        <f t="shared" si="6"/>
        <v>0.15008778253129162</v>
      </c>
      <c r="G201" s="67">
        <v>2350006.8028000002</v>
      </c>
      <c r="H201" s="67">
        <v>709567.65899999999</v>
      </c>
      <c r="I201" s="68">
        <f t="shared" si="7"/>
        <v>0.30194281061423311</v>
      </c>
    </row>
    <row r="202" spans="2:9" ht="18" customHeight="1">
      <c r="B202" s="66" t="s">
        <v>1061</v>
      </c>
      <c r="C202" s="66" t="s">
        <v>1238</v>
      </c>
      <c r="D202" s="67">
        <v>9652534.7887999993</v>
      </c>
      <c r="E202" s="67">
        <v>2051670.7609999999</v>
      </c>
      <c r="F202" s="68">
        <f t="shared" si="6"/>
        <v>0.21255253732735452</v>
      </c>
      <c r="G202" s="67">
        <v>3517096.1172000002</v>
      </c>
      <c r="H202" s="67">
        <v>881213.20799999998</v>
      </c>
      <c r="I202" s="68">
        <f t="shared" si="7"/>
        <v>0.25055135789167565</v>
      </c>
    </row>
    <row r="203" spans="2:9" ht="18" customHeight="1">
      <c r="B203" s="66" t="s">
        <v>1061</v>
      </c>
      <c r="C203" s="66" t="s">
        <v>1239</v>
      </c>
      <c r="D203" s="67">
        <v>4574339.1857000003</v>
      </c>
      <c r="E203" s="67">
        <v>798537.25520000001</v>
      </c>
      <c r="F203" s="68">
        <f t="shared" si="6"/>
        <v>0.17456887711701286</v>
      </c>
      <c r="G203" s="67">
        <v>844613.50179999997</v>
      </c>
      <c r="H203" s="67">
        <v>277349.17200000002</v>
      </c>
      <c r="I203" s="68">
        <f t="shared" si="7"/>
        <v>0.32837406862301716</v>
      </c>
    </row>
    <row r="204" spans="2:9" ht="18" customHeight="1">
      <c r="B204" s="66" t="s">
        <v>1061</v>
      </c>
      <c r="C204" s="66" t="s">
        <v>1240</v>
      </c>
      <c r="D204" s="67">
        <v>5497756.2790000001</v>
      </c>
      <c r="E204" s="67">
        <v>1006847.9852999999</v>
      </c>
      <c r="F204" s="68">
        <f t="shared" si="6"/>
        <v>0.1831379810607279</v>
      </c>
      <c r="G204" s="67">
        <v>1639980.727</v>
      </c>
      <c r="H204" s="67">
        <v>472611.01500000001</v>
      </c>
      <c r="I204" s="68">
        <f t="shared" si="7"/>
        <v>0.28818083482270096</v>
      </c>
    </row>
    <row r="205" spans="2:9" ht="18" customHeight="1">
      <c r="B205" s="66" t="s">
        <v>1061</v>
      </c>
      <c r="C205" s="66" t="s">
        <v>1241</v>
      </c>
      <c r="D205" s="67">
        <v>4870256.1242000004</v>
      </c>
      <c r="E205" s="67">
        <v>972736.33270000003</v>
      </c>
      <c r="F205" s="68">
        <f t="shared" si="6"/>
        <v>0.19973001581303571</v>
      </c>
      <c r="G205" s="67">
        <v>1619822.9601</v>
      </c>
      <c r="H205" s="67">
        <v>553704.93469999998</v>
      </c>
      <c r="I205" s="68">
        <f t="shared" si="7"/>
        <v>0.34183052613713844</v>
      </c>
    </row>
    <row r="206" spans="2:9" ht="18" customHeight="1">
      <c r="B206" s="66" t="s">
        <v>1061</v>
      </c>
      <c r="C206" s="66" t="s">
        <v>1242</v>
      </c>
      <c r="D206" s="67">
        <v>4504911.2882200005</v>
      </c>
      <c r="E206" s="67">
        <v>1704978.9873200001</v>
      </c>
      <c r="F206" s="68">
        <f t="shared" si="6"/>
        <v>0.37847115697447586</v>
      </c>
      <c r="G206" s="67">
        <v>1838032.72422</v>
      </c>
      <c r="H206" s="67">
        <v>944918.18432</v>
      </c>
      <c r="I206" s="68">
        <f t="shared" si="7"/>
        <v>0.5140921442086902</v>
      </c>
    </row>
    <row r="207" spans="2:9" ht="18" customHeight="1">
      <c r="B207" s="66" t="s">
        <v>1061</v>
      </c>
      <c r="C207" s="66" t="s">
        <v>1243</v>
      </c>
      <c r="D207" s="67">
        <v>2699997.3676</v>
      </c>
      <c r="E207" s="67">
        <v>1036991.184</v>
      </c>
      <c r="F207" s="68">
        <f t="shared" si="6"/>
        <v>0.38407118334406781</v>
      </c>
      <c r="G207" s="67">
        <v>1209659.7830999999</v>
      </c>
      <c r="H207" s="67">
        <v>695998.03399999999</v>
      </c>
      <c r="I207" s="68">
        <f t="shared" si="7"/>
        <v>0.5753667632202859</v>
      </c>
    </row>
    <row r="208" spans="2:9" ht="18" customHeight="1">
      <c r="B208" s="66" t="s">
        <v>1061</v>
      </c>
      <c r="C208" s="66" t="s">
        <v>1244</v>
      </c>
      <c r="D208" s="67">
        <v>3574108.3807000001</v>
      </c>
      <c r="E208" s="67">
        <v>1261074.0560000001</v>
      </c>
      <c r="F208" s="68">
        <f t="shared" si="6"/>
        <v>0.35283598639865948</v>
      </c>
      <c r="G208" s="67">
        <v>1454051.7503</v>
      </c>
      <c r="H208" s="67">
        <v>852671.41399999999</v>
      </c>
      <c r="I208" s="68">
        <f t="shared" si="7"/>
        <v>0.5864106376021877</v>
      </c>
    </row>
    <row r="209" spans="2:9" ht="18" customHeight="1">
      <c r="B209" s="66" t="s">
        <v>1062</v>
      </c>
      <c r="C209" s="66" t="s">
        <v>1245</v>
      </c>
      <c r="D209" s="67">
        <v>28904756.954799999</v>
      </c>
      <c r="E209" s="67">
        <v>7230477.5767000001</v>
      </c>
      <c r="F209" s="68">
        <f t="shared" si="6"/>
        <v>0.25014836097763099</v>
      </c>
      <c r="G209" s="67">
        <v>9111688.0703999996</v>
      </c>
      <c r="H209" s="67">
        <v>2537025.3309999998</v>
      </c>
      <c r="I209" s="68">
        <f t="shared" si="7"/>
        <v>0.2784363678165977</v>
      </c>
    </row>
    <row r="210" spans="2:9" ht="18" customHeight="1">
      <c r="B210" s="66" t="s">
        <v>1062</v>
      </c>
      <c r="C210" s="66" t="s">
        <v>1246</v>
      </c>
      <c r="D210" s="67">
        <v>20784890.3343</v>
      </c>
      <c r="E210" s="67">
        <v>5254697.3503999999</v>
      </c>
      <c r="F210" s="68">
        <f t="shared" si="6"/>
        <v>0.25281333054370281</v>
      </c>
      <c r="G210" s="67">
        <v>11697770.867699999</v>
      </c>
      <c r="H210" s="67">
        <v>3261056.0913999998</v>
      </c>
      <c r="I210" s="68">
        <f t="shared" si="7"/>
        <v>0.2787758563817026</v>
      </c>
    </row>
    <row r="211" spans="2:9" ht="18" customHeight="1">
      <c r="B211" s="66" t="s">
        <v>1062</v>
      </c>
      <c r="C211" s="66" t="s">
        <v>1247</v>
      </c>
      <c r="D211" s="67">
        <v>27747847.4639</v>
      </c>
      <c r="E211" s="67">
        <v>7167873.8295999998</v>
      </c>
      <c r="F211" s="68">
        <f t="shared" si="6"/>
        <v>0.25832179735474675</v>
      </c>
      <c r="G211" s="67">
        <v>10691123.656500001</v>
      </c>
      <c r="H211" s="67">
        <v>3387389.8695</v>
      </c>
      <c r="I211" s="68">
        <f t="shared" si="7"/>
        <v>0.31684133289773814</v>
      </c>
    </row>
    <row r="212" spans="2:9" ht="18" customHeight="1">
      <c r="B212" s="66" t="s">
        <v>1062</v>
      </c>
      <c r="C212" s="66" t="s">
        <v>1248</v>
      </c>
      <c r="D212" s="67">
        <v>15137295.3412</v>
      </c>
      <c r="E212" s="67">
        <v>3511598.0304999999</v>
      </c>
      <c r="F212" s="68">
        <f t="shared" si="6"/>
        <v>0.23198318797032999</v>
      </c>
      <c r="G212" s="67">
        <v>5941695.0281999996</v>
      </c>
      <c r="H212" s="67">
        <v>1857412.3119999999</v>
      </c>
      <c r="I212" s="68">
        <f t="shared" si="7"/>
        <v>0.31260647057523105</v>
      </c>
    </row>
    <row r="213" spans="2:9" ht="18" customHeight="1">
      <c r="B213" s="66" t="s">
        <v>1062</v>
      </c>
      <c r="C213" s="66" t="s">
        <v>1249</v>
      </c>
      <c r="D213" s="67">
        <v>15018138.9816</v>
      </c>
      <c r="E213" s="67">
        <v>4468814.5922999997</v>
      </c>
      <c r="F213" s="68">
        <f t="shared" si="6"/>
        <v>0.29756114241419157</v>
      </c>
      <c r="G213" s="67">
        <v>6768330.7344000004</v>
      </c>
      <c r="H213" s="67">
        <v>2590871.1803000001</v>
      </c>
      <c r="I213" s="68">
        <f t="shared" si="7"/>
        <v>0.38279322952288852</v>
      </c>
    </row>
    <row r="214" spans="2:9" ht="18" customHeight="1">
      <c r="B214" s="66" t="s">
        <v>1062</v>
      </c>
      <c r="C214" s="66" t="s">
        <v>1250</v>
      </c>
      <c r="D214" s="67">
        <v>40095492.348899998</v>
      </c>
      <c r="E214" s="67">
        <v>8817890.4571000002</v>
      </c>
      <c r="F214" s="68">
        <f t="shared" si="6"/>
        <v>0.21992223914771095</v>
      </c>
      <c r="G214" s="67">
        <v>16900002.1239</v>
      </c>
      <c r="H214" s="67">
        <v>3448890.2538999999</v>
      </c>
      <c r="I214" s="68">
        <f t="shared" si="7"/>
        <v>0.20407632073741433</v>
      </c>
    </row>
    <row r="215" spans="2:9" ht="18" customHeight="1">
      <c r="B215" s="66" t="s">
        <v>1062</v>
      </c>
      <c r="C215" s="66" t="s">
        <v>1251</v>
      </c>
      <c r="D215" s="67">
        <v>9798235.9148999993</v>
      </c>
      <c r="E215" s="67">
        <v>3215227.2305000001</v>
      </c>
      <c r="F215" s="68">
        <f t="shared" si="6"/>
        <v>0.32814347995139231</v>
      </c>
      <c r="G215" s="67">
        <v>3968830.2799</v>
      </c>
      <c r="H215" s="67">
        <v>1729083.8525</v>
      </c>
      <c r="I215" s="68">
        <f t="shared" si="7"/>
        <v>0.43566585884432596</v>
      </c>
    </row>
    <row r="216" spans="2:9" ht="18" customHeight="1">
      <c r="B216" s="66" t="s">
        <v>1062</v>
      </c>
      <c r="C216" s="66" t="s">
        <v>1252</v>
      </c>
      <c r="D216" s="67">
        <v>11162952.6625</v>
      </c>
      <c r="E216" s="67">
        <v>3094957.7368999999</v>
      </c>
      <c r="F216" s="68">
        <f t="shared" si="6"/>
        <v>0.27725260784245487</v>
      </c>
      <c r="G216" s="67">
        <v>3812762.1708</v>
      </c>
      <c r="H216" s="67">
        <v>1397098.1405</v>
      </c>
      <c r="I216" s="68">
        <f t="shared" si="7"/>
        <v>0.36642677353433206</v>
      </c>
    </row>
    <row r="217" spans="2:9" ht="18" customHeight="1">
      <c r="B217" s="66" t="s">
        <v>1062</v>
      </c>
      <c r="C217" s="66" t="s">
        <v>1253</v>
      </c>
      <c r="D217" s="67">
        <v>11173492.8488</v>
      </c>
      <c r="E217" s="67">
        <v>3667882.3135000002</v>
      </c>
      <c r="F217" s="68">
        <f t="shared" si="6"/>
        <v>0.32826640363348153</v>
      </c>
      <c r="G217" s="67">
        <v>4119998.7864999999</v>
      </c>
      <c r="H217" s="67">
        <v>1912055.8045000001</v>
      </c>
      <c r="I217" s="68">
        <f t="shared" si="7"/>
        <v>0.46409135137739199</v>
      </c>
    </row>
    <row r="218" spans="2:9" ht="18" customHeight="1">
      <c r="B218" s="66" t="s">
        <v>1062</v>
      </c>
      <c r="C218" s="66" t="s">
        <v>1254</v>
      </c>
      <c r="D218" s="67">
        <v>7211998.4704999998</v>
      </c>
      <c r="E218" s="67">
        <v>2430350.6211999999</v>
      </c>
      <c r="F218" s="68">
        <f t="shared" si="6"/>
        <v>0.33698712376896917</v>
      </c>
      <c r="G218" s="67">
        <v>2940609.0397999999</v>
      </c>
      <c r="H218" s="67">
        <v>1336768.4339999999</v>
      </c>
      <c r="I218" s="68">
        <f t="shared" si="7"/>
        <v>0.45458896980433611</v>
      </c>
    </row>
    <row r="219" spans="2:9" ht="18" customHeight="1">
      <c r="B219" s="66" t="s">
        <v>1062</v>
      </c>
      <c r="C219" s="66" t="s">
        <v>1255</v>
      </c>
      <c r="D219" s="67">
        <v>24972093.415399998</v>
      </c>
      <c r="E219" s="67">
        <v>5210027.6487999996</v>
      </c>
      <c r="F219" s="68">
        <f t="shared" si="6"/>
        <v>0.20863399644288677</v>
      </c>
      <c r="G219" s="67">
        <v>11429122.863</v>
      </c>
      <c r="H219" s="67">
        <v>2035520.2678</v>
      </c>
      <c r="I219" s="68">
        <f t="shared" si="7"/>
        <v>0.17809943004372444</v>
      </c>
    </row>
    <row r="220" spans="2:9" ht="18" customHeight="1">
      <c r="B220" s="66" t="s">
        <v>1062</v>
      </c>
      <c r="C220" s="66" t="s">
        <v>1257</v>
      </c>
      <c r="D220" s="67">
        <v>5965762.4578999998</v>
      </c>
      <c r="E220" s="67">
        <v>2382393.7637</v>
      </c>
      <c r="F220" s="68">
        <f t="shared" si="6"/>
        <v>0.3993443890051605</v>
      </c>
      <c r="G220" s="67">
        <v>2143269.3092</v>
      </c>
      <c r="H220" s="67">
        <v>1299247.588</v>
      </c>
      <c r="I220" s="68">
        <f t="shared" si="7"/>
        <v>0.60619894215951753</v>
      </c>
    </row>
    <row r="221" spans="2:9" ht="18" customHeight="1">
      <c r="B221" s="66" t="s">
        <v>1062</v>
      </c>
      <c r="C221" s="66" t="s">
        <v>1258</v>
      </c>
      <c r="D221" s="67">
        <v>2386954.5282999999</v>
      </c>
      <c r="E221" s="67">
        <v>880067.3615</v>
      </c>
      <c r="F221" s="68">
        <f t="shared" si="6"/>
        <v>0.3686988382333316</v>
      </c>
      <c r="G221" s="67">
        <v>868944.57579999999</v>
      </c>
      <c r="H221" s="67">
        <v>385254.89199999999</v>
      </c>
      <c r="I221" s="68">
        <f t="shared" si="7"/>
        <v>0.44335956829618545</v>
      </c>
    </row>
    <row r="222" spans="2:9" ht="18" customHeight="1">
      <c r="B222" s="66" t="s">
        <v>1062</v>
      </c>
      <c r="C222" s="66" t="s">
        <v>1259</v>
      </c>
      <c r="D222" s="67">
        <v>1488777.4209</v>
      </c>
      <c r="E222" s="67">
        <v>498593.67099999997</v>
      </c>
      <c r="F222" s="68">
        <f t="shared" si="6"/>
        <v>0.33490141911111782</v>
      </c>
      <c r="G222" s="67">
        <v>652301.65370000002</v>
      </c>
      <c r="H222" s="67">
        <v>286559.33199999999</v>
      </c>
      <c r="I222" s="68">
        <f t="shared" si="7"/>
        <v>0.4393049295131658</v>
      </c>
    </row>
    <row r="223" spans="2:9" ht="18" customHeight="1">
      <c r="B223" s="66" t="s">
        <v>1062</v>
      </c>
      <c r="C223" s="66" t="s">
        <v>1260</v>
      </c>
      <c r="D223" s="67">
        <v>3214890.0249000001</v>
      </c>
      <c r="E223" s="67">
        <v>942777.70499999996</v>
      </c>
      <c r="F223" s="68">
        <f t="shared" si="6"/>
        <v>0.29325348540633994</v>
      </c>
      <c r="G223" s="67">
        <v>1338398.7168000001</v>
      </c>
      <c r="H223" s="67">
        <v>535198.80299999996</v>
      </c>
      <c r="I223" s="68">
        <f t="shared" si="7"/>
        <v>0.39987994330987986</v>
      </c>
    </row>
    <row r="224" spans="2:9" ht="18" customHeight="1">
      <c r="B224" s="66" t="s">
        <v>1062</v>
      </c>
      <c r="C224" s="66" t="s">
        <v>1261</v>
      </c>
      <c r="D224" s="67">
        <v>4260702.0297999997</v>
      </c>
      <c r="E224" s="67">
        <v>967082.43</v>
      </c>
      <c r="F224" s="68">
        <f t="shared" si="6"/>
        <v>0.22697725004848451</v>
      </c>
      <c r="G224" s="67">
        <v>1688534.1462999999</v>
      </c>
      <c r="H224" s="67">
        <v>496165.038</v>
      </c>
      <c r="I224" s="68">
        <f t="shared" si="7"/>
        <v>0.29384365077083074</v>
      </c>
    </row>
    <row r="225" spans="2:9" ht="18" customHeight="1">
      <c r="B225" s="66" t="s">
        <v>1062</v>
      </c>
      <c r="C225" s="66" t="s">
        <v>1262</v>
      </c>
      <c r="D225" s="67">
        <v>4411134.7526000002</v>
      </c>
      <c r="E225" s="67">
        <v>1086055.3729999999</v>
      </c>
      <c r="F225" s="68">
        <f t="shared" si="6"/>
        <v>0.24620770706672696</v>
      </c>
      <c r="G225" s="67">
        <v>1177126.892</v>
      </c>
      <c r="H225" s="67">
        <v>403604.02299999999</v>
      </c>
      <c r="I225" s="68">
        <f t="shared" si="7"/>
        <v>0.34287214551207451</v>
      </c>
    </row>
    <row r="226" spans="2:9" ht="18" customHeight="1">
      <c r="B226" s="66" t="s">
        <v>1062</v>
      </c>
      <c r="C226" s="66" t="s">
        <v>1263</v>
      </c>
      <c r="D226" s="67">
        <v>6148717.2615</v>
      </c>
      <c r="E226" s="67">
        <v>1542803.2879000001</v>
      </c>
      <c r="F226" s="68">
        <f t="shared" si="6"/>
        <v>0.25091465785233197</v>
      </c>
      <c r="G226" s="67">
        <v>1679181.8075000001</v>
      </c>
      <c r="H226" s="67">
        <v>680117.92139999999</v>
      </c>
      <c r="I226" s="68">
        <f t="shared" si="7"/>
        <v>0.40502935320182709</v>
      </c>
    </row>
    <row r="227" spans="2:9" ht="18" customHeight="1">
      <c r="B227" s="66" t="s">
        <v>1062</v>
      </c>
      <c r="C227" s="66" t="s">
        <v>1264</v>
      </c>
      <c r="D227" s="67">
        <v>13050804.8945</v>
      </c>
      <c r="E227" s="67">
        <v>2260013.3905000002</v>
      </c>
      <c r="F227" s="68">
        <f t="shared" si="6"/>
        <v>0.17317042196013807</v>
      </c>
      <c r="G227" s="67">
        <v>4569287.4924999997</v>
      </c>
      <c r="H227" s="67">
        <v>969744.42649999994</v>
      </c>
      <c r="I227" s="68">
        <f t="shared" si="7"/>
        <v>0.21223099402078169</v>
      </c>
    </row>
    <row r="228" spans="2:9" ht="18" customHeight="1">
      <c r="B228" s="66" t="s">
        <v>1062</v>
      </c>
      <c r="C228" s="66" t="s">
        <v>1265</v>
      </c>
      <c r="D228" s="67">
        <v>6853720.8546000002</v>
      </c>
      <c r="E228" s="67">
        <v>1759241.014</v>
      </c>
      <c r="F228" s="68">
        <f t="shared" si="6"/>
        <v>0.25668407735328952</v>
      </c>
      <c r="G228" s="67">
        <v>2767579.7826999999</v>
      </c>
      <c r="H228" s="67">
        <v>1075994.416</v>
      </c>
      <c r="I228" s="68">
        <f t="shared" si="7"/>
        <v>0.38878532887325823</v>
      </c>
    </row>
    <row r="229" spans="2:9" ht="18" customHeight="1">
      <c r="B229" s="66" t="s">
        <v>1062</v>
      </c>
      <c r="C229" s="66" t="s">
        <v>1266</v>
      </c>
      <c r="D229" s="67">
        <v>3333111.5389999999</v>
      </c>
      <c r="E229" s="67">
        <v>1349210.58</v>
      </c>
      <c r="F229" s="68">
        <f t="shared" si="6"/>
        <v>0.40479010804564619</v>
      </c>
      <c r="G229" s="67">
        <v>1262699.7629</v>
      </c>
      <c r="H229" s="67">
        <v>683053.01300000004</v>
      </c>
      <c r="I229" s="68">
        <f t="shared" si="7"/>
        <v>0.54094649660126271</v>
      </c>
    </row>
    <row r="230" spans="2:9" ht="18" customHeight="1">
      <c r="B230" s="66" t="s">
        <v>1062</v>
      </c>
      <c r="C230" s="66" t="s">
        <v>1267</v>
      </c>
      <c r="D230" s="67">
        <v>4738314.5362999998</v>
      </c>
      <c r="E230" s="67">
        <v>1642225.76</v>
      </c>
      <c r="F230" s="68">
        <f t="shared" si="6"/>
        <v>0.34658437033231698</v>
      </c>
      <c r="G230" s="67">
        <v>2044132.4510999999</v>
      </c>
      <c r="H230" s="67">
        <v>847685.26199999999</v>
      </c>
      <c r="I230" s="68">
        <f t="shared" si="7"/>
        <v>0.41469194500769208</v>
      </c>
    </row>
    <row r="231" spans="2:9" ht="18" customHeight="1">
      <c r="B231" s="66" t="s">
        <v>1062</v>
      </c>
      <c r="C231" s="66" t="s">
        <v>1268</v>
      </c>
      <c r="D231" s="67">
        <v>678215.41379999998</v>
      </c>
      <c r="E231" s="67">
        <v>275758.21999999997</v>
      </c>
      <c r="F231" s="68">
        <f t="shared" si="6"/>
        <v>0.40659385556418326</v>
      </c>
      <c r="G231" s="67">
        <v>242882.79399999999</v>
      </c>
      <c r="H231" s="67">
        <v>149155.65</v>
      </c>
      <c r="I231" s="68">
        <f t="shared" si="7"/>
        <v>0.61410546026574442</v>
      </c>
    </row>
    <row r="232" spans="2:9" ht="18" customHeight="1">
      <c r="B232" s="66" t="s">
        <v>1063</v>
      </c>
      <c r="C232" s="66" t="s">
        <v>1269</v>
      </c>
      <c r="D232" s="67">
        <v>16638896.854</v>
      </c>
      <c r="E232" s="67">
        <v>4376093.9612999996</v>
      </c>
      <c r="F232" s="68">
        <f t="shared" si="6"/>
        <v>0.26300385173960522</v>
      </c>
      <c r="G232" s="67">
        <v>8379833.5614</v>
      </c>
      <c r="H232" s="67">
        <v>2599827.1219000001</v>
      </c>
      <c r="I232" s="68">
        <f t="shared" si="7"/>
        <v>0.310248061951442</v>
      </c>
    </row>
    <row r="233" spans="2:9" ht="18" customHeight="1">
      <c r="B233" s="66" t="s">
        <v>1063</v>
      </c>
      <c r="C233" s="66" t="s">
        <v>1270</v>
      </c>
      <c r="D233" s="67">
        <v>25655929.457899999</v>
      </c>
      <c r="E233" s="67">
        <v>10765555.960200001</v>
      </c>
      <c r="F233" s="68">
        <f t="shared" si="6"/>
        <v>0.41961278299683896</v>
      </c>
      <c r="G233" s="67">
        <v>9127600.5275999997</v>
      </c>
      <c r="H233" s="67">
        <v>4266842.2198000001</v>
      </c>
      <c r="I233" s="68">
        <f t="shared" si="7"/>
        <v>0.46746592457655667</v>
      </c>
    </row>
    <row r="234" spans="2:9" ht="18" customHeight="1">
      <c r="B234" s="66" t="s">
        <v>1063</v>
      </c>
      <c r="C234" s="66" t="s">
        <v>1271</v>
      </c>
      <c r="D234" s="67">
        <v>13199878.353499999</v>
      </c>
      <c r="E234" s="67">
        <v>3339703.0605000001</v>
      </c>
      <c r="F234" s="68">
        <f t="shared" si="6"/>
        <v>0.25301013926499288</v>
      </c>
      <c r="G234" s="67">
        <v>6969499.5162000004</v>
      </c>
      <c r="H234" s="67">
        <v>1607498.2709999999</v>
      </c>
      <c r="I234" s="68">
        <f t="shared" si="7"/>
        <v>0.23064759058573847</v>
      </c>
    </row>
    <row r="235" spans="2:9" ht="18" customHeight="1">
      <c r="B235" s="66" t="s">
        <v>1063</v>
      </c>
      <c r="C235" s="66" t="s">
        <v>1272</v>
      </c>
      <c r="D235" s="67">
        <v>12329624.3857</v>
      </c>
      <c r="E235" s="67">
        <v>4412787.2719999999</v>
      </c>
      <c r="F235" s="68">
        <f t="shared" si="6"/>
        <v>0.35790119260388714</v>
      </c>
      <c r="G235" s="67">
        <v>6520386.4786999999</v>
      </c>
      <c r="H235" s="67">
        <v>2378993.4093999998</v>
      </c>
      <c r="I235" s="68">
        <f t="shared" si="7"/>
        <v>0.36485466270617611</v>
      </c>
    </row>
    <row r="236" spans="2:9" ht="18" customHeight="1">
      <c r="B236" s="66" t="s">
        <v>1063</v>
      </c>
      <c r="C236" s="66" t="s">
        <v>1273</v>
      </c>
      <c r="D236" s="67">
        <v>14993480.4616</v>
      </c>
      <c r="E236" s="67">
        <v>2800156.6475</v>
      </c>
      <c r="F236" s="68">
        <f t="shared" si="6"/>
        <v>0.18675828168593128</v>
      </c>
      <c r="G236" s="67">
        <v>7675002.29</v>
      </c>
      <c r="H236" s="67">
        <v>1451694.054</v>
      </c>
      <c r="I236" s="68">
        <f t="shared" si="7"/>
        <v>0.18914574864576358</v>
      </c>
    </row>
    <row r="237" spans="2:9" ht="18" customHeight="1">
      <c r="B237" s="66" t="s">
        <v>1063</v>
      </c>
      <c r="C237" s="66" t="s">
        <v>1274</v>
      </c>
      <c r="D237" s="67">
        <v>27005197.902399998</v>
      </c>
      <c r="E237" s="67">
        <v>7736639.0532999998</v>
      </c>
      <c r="F237" s="68">
        <f t="shared" si="6"/>
        <v>0.28648703413547033</v>
      </c>
      <c r="G237" s="67">
        <v>13986388.241800001</v>
      </c>
      <c r="H237" s="67">
        <v>3995238.5436</v>
      </c>
      <c r="I237" s="68">
        <f t="shared" si="7"/>
        <v>0.2856519120254184</v>
      </c>
    </row>
    <row r="238" spans="2:9" ht="18" customHeight="1">
      <c r="B238" s="66" t="s">
        <v>1063</v>
      </c>
      <c r="C238" s="66" t="s">
        <v>1275</v>
      </c>
      <c r="D238" s="67">
        <v>9396882.1532000005</v>
      </c>
      <c r="E238" s="67">
        <v>2658659.2390000001</v>
      </c>
      <c r="F238" s="68">
        <f t="shared" si="6"/>
        <v>0.28292993310495268</v>
      </c>
      <c r="G238" s="67">
        <v>5200396.8126999997</v>
      </c>
      <c r="H238" s="67">
        <v>1729435.4748</v>
      </c>
      <c r="I238" s="68">
        <f t="shared" si="7"/>
        <v>0.33255836758004864</v>
      </c>
    </row>
    <row r="239" spans="2:9" ht="18" customHeight="1">
      <c r="B239" s="66" t="s">
        <v>1063</v>
      </c>
      <c r="C239" s="66" t="s">
        <v>1276</v>
      </c>
      <c r="D239" s="67">
        <v>10699302.831274999</v>
      </c>
      <c r="E239" s="67">
        <v>2589654.3810999999</v>
      </c>
      <c r="F239" s="68">
        <f t="shared" si="6"/>
        <v>0.24203954425238</v>
      </c>
      <c r="G239" s="67">
        <v>4611697.0177999996</v>
      </c>
      <c r="H239" s="67">
        <v>1392181.4986</v>
      </c>
      <c r="I239" s="68">
        <f t="shared" si="7"/>
        <v>0.301880521037381</v>
      </c>
    </row>
    <row r="240" spans="2:9" ht="18" customHeight="1">
      <c r="B240" s="66" t="s">
        <v>1063</v>
      </c>
      <c r="C240" s="66" t="s">
        <v>1277</v>
      </c>
      <c r="D240" s="67">
        <v>44878851.461599998</v>
      </c>
      <c r="E240" s="67">
        <v>6528598.0384</v>
      </c>
      <c r="F240" s="68">
        <f t="shared" si="6"/>
        <v>0.14547159354080416</v>
      </c>
      <c r="G240" s="67">
        <v>21194144.149099998</v>
      </c>
      <c r="H240" s="67">
        <v>3331231.5063999998</v>
      </c>
      <c r="I240" s="68">
        <f t="shared" si="7"/>
        <v>0.15717697695009117</v>
      </c>
    </row>
    <row r="241" spans="2:9" ht="18" customHeight="1">
      <c r="B241" s="66" t="s">
        <v>1063</v>
      </c>
      <c r="C241" s="66" t="s">
        <v>1278</v>
      </c>
      <c r="D241" s="67">
        <v>10853785.388800001</v>
      </c>
      <c r="E241" s="67">
        <v>3033175.9175</v>
      </c>
      <c r="F241" s="68">
        <f t="shared" si="6"/>
        <v>0.2794578857833257</v>
      </c>
      <c r="G241" s="67">
        <v>4686041.7740000002</v>
      </c>
      <c r="H241" s="67">
        <v>1713898.5549999999</v>
      </c>
      <c r="I241" s="68">
        <f t="shared" si="7"/>
        <v>0.36574547083839115</v>
      </c>
    </row>
    <row r="242" spans="2:9" ht="18" customHeight="1">
      <c r="B242" s="66" t="s">
        <v>1063</v>
      </c>
      <c r="C242" s="66" t="s">
        <v>1279</v>
      </c>
      <c r="D242" s="67">
        <v>18633340.387200002</v>
      </c>
      <c r="E242" s="67">
        <v>3504079.4904</v>
      </c>
      <c r="F242" s="68">
        <f t="shared" si="6"/>
        <v>0.1880542842874858</v>
      </c>
      <c r="G242" s="67">
        <v>10719022.0449</v>
      </c>
      <c r="H242" s="67">
        <v>1861595.4716</v>
      </c>
      <c r="I242" s="68">
        <f t="shared" si="7"/>
        <v>0.17367213760752809</v>
      </c>
    </row>
    <row r="243" spans="2:9" ht="18" customHeight="1">
      <c r="B243" s="66" t="s">
        <v>1063</v>
      </c>
      <c r="C243" s="66" t="s">
        <v>1280</v>
      </c>
      <c r="D243" s="67">
        <v>29259547.892200001</v>
      </c>
      <c r="E243" s="67">
        <v>5381291.5824999996</v>
      </c>
      <c r="F243" s="68">
        <f t="shared" si="6"/>
        <v>0.18391574614639011</v>
      </c>
      <c r="G243" s="67">
        <v>14327042.217700001</v>
      </c>
      <c r="H243" s="67">
        <v>2561468.1025999999</v>
      </c>
      <c r="I243" s="68">
        <f t="shared" si="7"/>
        <v>0.1787855485925417</v>
      </c>
    </row>
    <row r="244" spans="2:9" ht="18" customHeight="1">
      <c r="B244" s="66" t="s">
        <v>1063</v>
      </c>
      <c r="C244" s="66" t="s">
        <v>1281</v>
      </c>
      <c r="D244" s="67">
        <v>3277321.4621000001</v>
      </c>
      <c r="E244" s="67">
        <v>497844.72100000002</v>
      </c>
      <c r="F244" s="68">
        <f t="shared" si="6"/>
        <v>0.15190597771907227</v>
      </c>
      <c r="G244" s="67">
        <v>1215614.1905</v>
      </c>
      <c r="H244" s="67">
        <v>182475.65400000001</v>
      </c>
      <c r="I244" s="68">
        <f t="shared" si="7"/>
        <v>0.15010984194331023</v>
      </c>
    </row>
    <row r="245" spans="2:9" ht="18" customHeight="1">
      <c r="B245" s="66" t="s">
        <v>1063</v>
      </c>
      <c r="C245" s="66" t="s">
        <v>1282</v>
      </c>
      <c r="D245" s="67">
        <v>9025955.9854499996</v>
      </c>
      <c r="E245" s="67">
        <v>1122529.2541</v>
      </c>
      <c r="F245" s="68">
        <f t="shared" si="6"/>
        <v>0.12436679903043367</v>
      </c>
      <c r="G245" s="67">
        <v>2645513.4368500002</v>
      </c>
      <c r="H245" s="67">
        <v>336646.087</v>
      </c>
      <c r="I245" s="68">
        <f t="shared" si="7"/>
        <v>0.12725170180985465</v>
      </c>
    </row>
    <row r="246" spans="2:9" ht="18" customHeight="1">
      <c r="B246" s="66" t="s">
        <v>1063</v>
      </c>
      <c r="C246" s="66" t="s">
        <v>1283</v>
      </c>
      <c r="D246" s="67">
        <v>7538791.2778000003</v>
      </c>
      <c r="E246" s="67">
        <v>2110774.4591000001</v>
      </c>
      <c r="F246" s="68">
        <f t="shared" si="6"/>
        <v>0.27998844659829536</v>
      </c>
      <c r="G246" s="67">
        <v>2339198.1183000002</v>
      </c>
      <c r="H246" s="67">
        <v>987567.46759999997</v>
      </c>
      <c r="I246" s="68">
        <f t="shared" si="7"/>
        <v>0.42218205455710156</v>
      </c>
    </row>
    <row r="247" spans="2:9" ht="18" customHeight="1">
      <c r="B247" s="66" t="s">
        <v>1063</v>
      </c>
      <c r="C247" s="66" t="s">
        <v>1176</v>
      </c>
      <c r="D247" s="67">
        <v>5511359.2407</v>
      </c>
      <c r="E247" s="67">
        <v>1883551.2733</v>
      </c>
      <c r="F247" s="68">
        <f t="shared" si="6"/>
        <v>0.34175802937875077</v>
      </c>
      <c r="G247" s="67">
        <v>2134783.8626000001</v>
      </c>
      <c r="H247" s="67">
        <v>879317.94070000004</v>
      </c>
      <c r="I247" s="68">
        <f t="shared" si="7"/>
        <v>0.41190021908309699</v>
      </c>
    </row>
    <row r="248" spans="2:9" ht="18" customHeight="1">
      <c r="B248" s="66" t="s">
        <v>1063</v>
      </c>
      <c r="C248" s="66" t="s">
        <v>1284</v>
      </c>
      <c r="D248" s="67">
        <v>4418370.9595999997</v>
      </c>
      <c r="E248" s="67">
        <v>1664303.912</v>
      </c>
      <c r="F248" s="68">
        <f t="shared" si="6"/>
        <v>0.37667817555786925</v>
      </c>
      <c r="G248" s="67">
        <v>2037996.3343</v>
      </c>
      <c r="H248" s="67">
        <v>946178.77399999998</v>
      </c>
      <c r="I248" s="68">
        <f t="shared" si="7"/>
        <v>0.46426912456885666</v>
      </c>
    </row>
    <row r="249" spans="2:9" ht="18" customHeight="1">
      <c r="B249" s="66" t="s">
        <v>1063</v>
      </c>
      <c r="C249" s="66" t="s">
        <v>1285</v>
      </c>
      <c r="D249" s="67">
        <v>4652428.2119000005</v>
      </c>
      <c r="E249" s="67">
        <v>1569835.192</v>
      </c>
      <c r="F249" s="68">
        <f t="shared" si="6"/>
        <v>0.33742276516694419</v>
      </c>
      <c r="G249" s="67">
        <v>1849335.3176</v>
      </c>
      <c r="H249" s="67">
        <v>923347.56299999997</v>
      </c>
      <c r="I249" s="68">
        <f t="shared" si="7"/>
        <v>0.49928617823526283</v>
      </c>
    </row>
    <row r="250" spans="2:9" ht="18" customHeight="1">
      <c r="B250" s="66" t="s">
        <v>1063</v>
      </c>
      <c r="C250" s="66" t="s">
        <v>1286</v>
      </c>
      <c r="D250" s="67">
        <v>3694362.0265000002</v>
      </c>
      <c r="E250" s="67">
        <v>859027.652</v>
      </c>
      <c r="F250" s="68">
        <f t="shared" si="6"/>
        <v>0.23252395023501088</v>
      </c>
      <c r="G250" s="67">
        <v>1505090.2334</v>
      </c>
      <c r="H250" s="67">
        <v>517996.31099999999</v>
      </c>
      <c r="I250" s="68">
        <f t="shared" si="7"/>
        <v>0.34416296080125769</v>
      </c>
    </row>
    <row r="251" spans="2:9" ht="18" customHeight="1">
      <c r="B251" s="66" t="s">
        <v>1063</v>
      </c>
      <c r="C251" s="66" t="s">
        <v>1287</v>
      </c>
      <c r="D251" s="67">
        <v>3850365.4328000001</v>
      </c>
      <c r="E251" s="67">
        <v>1165252.9295000001</v>
      </c>
      <c r="F251" s="68">
        <f t="shared" si="6"/>
        <v>0.30263437323989889</v>
      </c>
      <c r="G251" s="67">
        <v>1681752.2593</v>
      </c>
      <c r="H251" s="67">
        <v>689721.77049999998</v>
      </c>
      <c r="I251" s="68">
        <f t="shared" si="7"/>
        <v>0.41012091209384466</v>
      </c>
    </row>
    <row r="252" spans="2:9" ht="18" customHeight="1">
      <c r="B252" s="66" t="s">
        <v>1063</v>
      </c>
      <c r="C252" s="66" t="s">
        <v>1288</v>
      </c>
      <c r="D252" s="67">
        <v>6210868.1917000003</v>
      </c>
      <c r="E252" s="67">
        <v>1707129.568</v>
      </c>
      <c r="F252" s="68">
        <f t="shared" si="6"/>
        <v>0.2748616643131071</v>
      </c>
      <c r="G252" s="67">
        <v>2836550.2590000001</v>
      </c>
      <c r="H252" s="67">
        <v>969326.37849999999</v>
      </c>
      <c r="I252" s="68">
        <f t="shared" si="7"/>
        <v>0.34172720029354503</v>
      </c>
    </row>
    <row r="253" spans="2:9" ht="18" customHeight="1">
      <c r="B253" s="66" t="s">
        <v>1063</v>
      </c>
      <c r="C253" s="66" t="s">
        <v>1289</v>
      </c>
      <c r="D253" s="67">
        <v>5229737.0959000001</v>
      </c>
      <c r="E253" s="67">
        <v>1832886.598</v>
      </c>
      <c r="F253" s="68">
        <f t="shared" si="6"/>
        <v>0.35047394627866535</v>
      </c>
      <c r="G253" s="67">
        <v>1929454.5708999999</v>
      </c>
      <c r="H253" s="67">
        <v>1053120.325</v>
      </c>
      <c r="I253" s="68">
        <f t="shared" si="7"/>
        <v>0.54581244921914318</v>
      </c>
    </row>
    <row r="254" spans="2:9" ht="18" customHeight="1">
      <c r="B254" s="66" t="s">
        <v>1064</v>
      </c>
      <c r="C254" s="66" t="s">
        <v>1290</v>
      </c>
      <c r="D254" s="67">
        <v>39023237.596960001</v>
      </c>
      <c r="E254" s="67">
        <v>8574285.5800999999</v>
      </c>
      <c r="F254" s="68">
        <f t="shared" si="6"/>
        <v>0.2197225578425086</v>
      </c>
      <c r="G254" s="67">
        <v>17953718.27036</v>
      </c>
      <c r="H254" s="67">
        <v>3863789.6253</v>
      </c>
      <c r="I254" s="68">
        <f t="shared" si="7"/>
        <v>0.21520832437694951</v>
      </c>
    </row>
    <row r="255" spans="2:9" ht="18" customHeight="1">
      <c r="B255" s="66" t="s">
        <v>1064</v>
      </c>
      <c r="C255" s="66" t="s">
        <v>1291</v>
      </c>
      <c r="D255" s="67">
        <v>20391188.272300001</v>
      </c>
      <c r="E255" s="67">
        <v>4171865.5140999998</v>
      </c>
      <c r="F255" s="68">
        <f t="shared" si="6"/>
        <v>0.20459158428580576</v>
      </c>
      <c r="G255" s="67">
        <v>7470531.6073000003</v>
      </c>
      <c r="H255" s="67">
        <v>1923802.6980000001</v>
      </c>
      <c r="I255" s="68">
        <f>H255/G255</f>
        <v>0.25751884860779017</v>
      </c>
    </row>
  </sheetData>
  <mergeCells count="4">
    <mergeCell ref="B4:B5"/>
    <mergeCell ref="C4:C5"/>
    <mergeCell ref="D4:F4"/>
    <mergeCell ref="G4:I4"/>
  </mergeCells>
  <phoneticPr fontId="20" type="noConversion"/>
  <pageMargins left="0.7" right="0.7" top="0.75" bottom="0.75" header="0.3" footer="0.3"/>
  <pageSetup paperSize="9" scale="6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70"/>
  <sheetViews>
    <sheetView view="pageBreakPreview" zoomScaleNormal="85" zoomScaleSheetLayoutView="100" workbookViewId="0">
      <selection activeCell="B1" sqref="B1"/>
    </sheetView>
  </sheetViews>
  <sheetFormatPr defaultColWidth="12.375" defaultRowHeight="18" customHeight="1"/>
  <cols>
    <col min="1" max="1" width="2.625" style="10" customWidth="1"/>
    <col min="2" max="2" width="16.625" style="10" customWidth="1"/>
    <col min="3" max="3" width="18.625" style="10" customWidth="1"/>
    <col min="4" max="4" width="10.625" style="10" customWidth="1"/>
    <col min="5" max="5" width="12.625" style="10" customWidth="1"/>
    <col min="6" max="6" width="10.625" style="10" customWidth="1"/>
    <col min="7" max="7" width="12.625" style="10" customWidth="1"/>
    <col min="8" max="8" width="10.625" style="10" customWidth="1"/>
    <col min="9" max="9" width="12.625" style="10" customWidth="1"/>
    <col min="10" max="10" width="10.625" style="10" customWidth="1"/>
    <col min="11" max="11" width="12.625" style="10" customWidth="1"/>
    <col min="12" max="12" width="10.625" style="10" customWidth="1"/>
    <col min="13" max="13" width="12.625" style="10" customWidth="1"/>
    <col min="14" max="14" width="10.625" style="10" customWidth="1"/>
    <col min="15" max="15" width="12.625" style="10" customWidth="1"/>
    <col min="16" max="71" width="12.375" style="10" customWidth="1"/>
    <col min="72" max="72" width="8.75" style="10" bestFit="1" customWidth="1"/>
    <col min="73" max="73" width="14.875" style="10" bestFit="1" customWidth="1"/>
    <col min="74" max="75" width="9.25" style="10" bestFit="1" customWidth="1"/>
    <col min="76" max="76" width="8.25" style="10" bestFit="1" customWidth="1"/>
    <col min="77" max="16384" width="12.375" style="10"/>
  </cols>
  <sheetData>
    <row r="1" spans="1:15" ht="30" customHeight="1">
      <c r="A1" s="7" t="str">
        <f>목차!B9</f>
        <v>6. 2023년 말소 건축물 용도별 현황</v>
      </c>
    </row>
    <row r="2" spans="1:15" ht="18" customHeight="1">
      <c r="A2" s="19" t="s">
        <v>954</v>
      </c>
    </row>
    <row r="3" spans="1:15" ht="18" customHeight="1">
      <c r="A3" s="19" t="s">
        <v>985</v>
      </c>
    </row>
    <row r="4" spans="1:15" ht="18" customHeight="1">
      <c r="A4" s="19" t="s">
        <v>1510</v>
      </c>
      <c r="B4" s="18"/>
      <c r="C4" s="18"/>
      <c r="D4" s="18"/>
      <c r="E4" s="18"/>
      <c r="F4" s="18"/>
      <c r="G4" s="18"/>
    </row>
    <row r="5" spans="1:15" ht="18" customHeight="1">
      <c r="A5" s="19" t="s">
        <v>1511</v>
      </c>
      <c r="B5" s="18"/>
      <c r="C5" s="18"/>
      <c r="D5" s="18"/>
      <c r="E5" s="18"/>
      <c r="F5" s="18"/>
      <c r="G5" s="18"/>
    </row>
    <row r="6" spans="1:15" ht="18" customHeight="1">
      <c r="A6" s="19"/>
      <c r="O6" s="11" t="s">
        <v>915</v>
      </c>
    </row>
    <row r="7" spans="1:15" ht="18" customHeight="1">
      <c r="B7" s="117" t="s">
        <v>955</v>
      </c>
      <c r="C7" s="117"/>
      <c r="D7" s="117" t="s">
        <v>956</v>
      </c>
      <c r="E7" s="117"/>
      <c r="F7" s="117" t="s">
        <v>957</v>
      </c>
      <c r="G7" s="117"/>
      <c r="H7" s="117" t="s">
        <v>958</v>
      </c>
      <c r="I7" s="117"/>
      <c r="J7" s="117" t="s">
        <v>959</v>
      </c>
      <c r="K7" s="117"/>
      <c r="L7" s="117" t="s">
        <v>1545</v>
      </c>
      <c r="M7" s="117"/>
      <c r="N7" s="117" t="s">
        <v>960</v>
      </c>
      <c r="O7" s="117"/>
    </row>
    <row r="8" spans="1:15" ht="18" customHeight="1">
      <c r="B8" s="120"/>
      <c r="C8" s="120"/>
      <c r="D8" s="98" t="s">
        <v>961</v>
      </c>
      <c r="E8" s="98" t="s">
        <v>962</v>
      </c>
      <c r="F8" s="98" t="s">
        <v>961</v>
      </c>
      <c r="G8" s="98" t="s">
        <v>962</v>
      </c>
      <c r="H8" s="98" t="s">
        <v>961</v>
      </c>
      <c r="I8" s="98" t="s">
        <v>962</v>
      </c>
      <c r="J8" s="98" t="s">
        <v>961</v>
      </c>
      <c r="K8" s="98" t="s">
        <v>962</v>
      </c>
      <c r="L8" s="98" t="s">
        <v>961</v>
      </c>
      <c r="M8" s="98" t="s">
        <v>962</v>
      </c>
      <c r="N8" s="98" t="s">
        <v>961</v>
      </c>
      <c r="O8" s="98" t="s">
        <v>962</v>
      </c>
    </row>
    <row r="9" spans="1:15" ht="18" customHeight="1">
      <c r="B9" s="123" t="s">
        <v>986</v>
      </c>
      <c r="C9" s="59" t="s">
        <v>917</v>
      </c>
      <c r="D9" s="67">
        <v>47701</v>
      </c>
      <c r="E9" s="67">
        <v>10640986.4309</v>
      </c>
      <c r="F9" s="67">
        <v>32207</v>
      </c>
      <c r="G9" s="67">
        <v>4745262.8726000004</v>
      </c>
      <c r="H9" s="67">
        <v>8838</v>
      </c>
      <c r="I9" s="67">
        <v>3168407.7194000003</v>
      </c>
      <c r="J9" s="67">
        <v>1259</v>
      </c>
      <c r="K9" s="67">
        <v>923184.66709999973</v>
      </c>
      <c r="L9" s="67">
        <v>593</v>
      </c>
      <c r="M9" s="67">
        <v>460867.33870000008</v>
      </c>
      <c r="N9" s="67">
        <v>4804</v>
      </c>
      <c r="O9" s="67">
        <v>1343263.8331000002</v>
      </c>
    </row>
    <row r="10" spans="1:15" ht="18" customHeight="1">
      <c r="B10" s="124"/>
      <c r="C10" s="60" t="s">
        <v>964</v>
      </c>
      <c r="D10" s="67">
        <v>1937</v>
      </c>
      <c r="E10" s="67">
        <v>656498.52910000004</v>
      </c>
      <c r="F10" s="67">
        <v>515</v>
      </c>
      <c r="G10" s="67">
        <v>290065.46350000001</v>
      </c>
      <c r="H10" s="67">
        <v>777</v>
      </c>
      <c r="I10" s="67">
        <v>201753.43360000005</v>
      </c>
      <c r="J10" s="67">
        <v>66</v>
      </c>
      <c r="K10" s="67">
        <v>35013.72</v>
      </c>
      <c r="L10" s="67">
        <v>21</v>
      </c>
      <c r="M10" s="67">
        <v>31923.440000000002</v>
      </c>
      <c r="N10" s="67">
        <v>558</v>
      </c>
      <c r="O10" s="67">
        <v>97742.471999999994</v>
      </c>
    </row>
    <row r="11" spans="1:15" ht="18" customHeight="1">
      <c r="B11" s="124"/>
      <c r="C11" s="60" t="s">
        <v>965</v>
      </c>
      <c r="D11" s="67">
        <v>1489</v>
      </c>
      <c r="E11" s="67">
        <v>373439.34669999994</v>
      </c>
      <c r="F11" s="67">
        <v>417</v>
      </c>
      <c r="G11" s="67">
        <v>72640.336099999986</v>
      </c>
      <c r="H11" s="67">
        <v>631</v>
      </c>
      <c r="I11" s="67">
        <v>164806.51680000001</v>
      </c>
      <c r="J11" s="67">
        <v>72</v>
      </c>
      <c r="K11" s="67">
        <v>35582.980000000003</v>
      </c>
      <c r="L11" s="67">
        <v>33</v>
      </c>
      <c r="M11" s="67">
        <v>14525.843799999999</v>
      </c>
      <c r="N11" s="67">
        <v>336</v>
      </c>
      <c r="O11" s="67">
        <v>85883.67</v>
      </c>
    </row>
    <row r="12" spans="1:15" ht="18" customHeight="1">
      <c r="B12" s="124"/>
      <c r="C12" s="60" t="s">
        <v>966</v>
      </c>
      <c r="D12" s="67">
        <v>2213</v>
      </c>
      <c r="E12" s="67">
        <v>740837.473</v>
      </c>
      <c r="F12" s="67">
        <v>707</v>
      </c>
      <c r="G12" s="67">
        <v>145938.47500000001</v>
      </c>
      <c r="H12" s="67">
        <v>854</v>
      </c>
      <c r="I12" s="67">
        <v>305380.46100000001</v>
      </c>
      <c r="J12" s="67">
        <v>125</v>
      </c>
      <c r="K12" s="67">
        <v>104903.292</v>
      </c>
      <c r="L12" s="67">
        <v>49</v>
      </c>
      <c r="M12" s="67">
        <v>61184.12999999999</v>
      </c>
      <c r="N12" s="67">
        <v>478</v>
      </c>
      <c r="O12" s="67">
        <v>123431.11500000003</v>
      </c>
    </row>
    <row r="13" spans="1:15" ht="18" customHeight="1">
      <c r="B13" s="124"/>
      <c r="C13" s="60" t="s">
        <v>967</v>
      </c>
      <c r="D13" s="67">
        <v>2989</v>
      </c>
      <c r="E13" s="67">
        <v>1103109.8932</v>
      </c>
      <c r="F13" s="67">
        <v>1113</v>
      </c>
      <c r="G13" s="67">
        <v>281689.65600000002</v>
      </c>
      <c r="H13" s="67">
        <v>966</v>
      </c>
      <c r="I13" s="67">
        <v>425268.413</v>
      </c>
      <c r="J13" s="67">
        <v>185</v>
      </c>
      <c r="K13" s="67">
        <v>117346.38499999999</v>
      </c>
      <c r="L13" s="67">
        <v>71</v>
      </c>
      <c r="M13" s="67">
        <v>49495.459199999998</v>
      </c>
      <c r="N13" s="67">
        <v>654</v>
      </c>
      <c r="O13" s="67">
        <v>229309.98</v>
      </c>
    </row>
    <row r="14" spans="1:15" ht="18" customHeight="1">
      <c r="B14" s="124"/>
      <c r="C14" s="60" t="s">
        <v>968</v>
      </c>
      <c r="D14" s="67">
        <v>4274</v>
      </c>
      <c r="E14" s="67">
        <v>1341065.3021999998</v>
      </c>
      <c r="F14" s="67">
        <v>1933</v>
      </c>
      <c r="G14" s="67">
        <v>400342.734</v>
      </c>
      <c r="H14" s="67">
        <v>1202</v>
      </c>
      <c r="I14" s="67">
        <v>462998.42749999993</v>
      </c>
      <c r="J14" s="67">
        <v>185</v>
      </c>
      <c r="K14" s="67">
        <v>115265.09699999999</v>
      </c>
      <c r="L14" s="67">
        <v>123</v>
      </c>
      <c r="M14" s="67">
        <v>92639.771699999998</v>
      </c>
      <c r="N14" s="67">
        <v>831</v>
      </c>
      <c r="O14" s="67">
        <v>269819.272</v>
      </c>
    </row>
    <row r="15" spans="1:15" ht="18" customHeight="1">
      <c r="B15" s="124"/>
      <c r="C15" s="60" t="s">
        <v>969</v>
      </c>
      <c r="D15" s="67">
        <v>4645</v>
      </c>
      <c r="E15" s="67">
        <v>1520688.4576000001</v>
      </c>
      <c r="F15" s="67">
        <v>3021</v>
      </c>
      <c r="G15" s="67">
        <v>661561.01199999999</v>
      </c>
      <c r="H15" s="67">
        <v>956</v>
      </c>
      <c r="I15" s="67">
        <v>482615.91600000008</v>
      </c>
      <c r="J15" s="67">
        <v>158</v>
      </c>
      <c r="K15" s="67">
        <v>169818.44260000001</v>
      </c>
      <c r="L15" s="67">
        <v>71</v>
      </c>
      <c r="M15" s="67">
        <v>41251.597000000002</v>
      </c>
      <c r="N15" s="67">
        <v>439</v>
      </c>
      <c r="O15" s="67">
        <v>165441.49</v>
      </c>
    </row>
    <row r="16" spans="1:15" ht="18" customHeight="1">
      <c r="B16" s="124"/>
      <c r="C16" s="60" t="s">
        <v>970</v>
      </c>
      <c r="D16" s="67">
        <v>18177</v>
      </c>
      <c r="E16" s="67">
        <v>3961681.3264000001</v>
      </c>
      <c r="F16" s="67">
        <v>14468</v>
      </c>
      <c r="G16" s="67">
        <v>2299504.3193000001</v>
      </c>
      <c r="H16" s="67">
        <v>2534</v>
      </c>
      <c r="I16" s="67">
        <v>998001.92149999982</v>
      </c>
      <c r="J16" s="67">
        <v>361</v>
      </c>
      <c r="K16" s="67">
        <v>304427.58049999998</v>
      </c>
      <c r="L16" s="67">
        <v>147</v>
      </c>
      <c r="M16" s="67">
        <v>138323.967</v>
      </c>
      <c r="N16" s="67">
        <v>667</v>
      </c>
      <c r="O16" s="67">
        <v>221423.53809999998</v>
      </c>
    </row>
    <row r="17" spans="2:15" ht="18" customHeight="1">
      <c r="B17" s="125"/>
      <c r="C17" s="61" t="s">
        <v>1037</v>
      </c>
      <c r="D17" s="67">
        <v>11977</v>
      </c>
      <c r="E17" s="67">
        <v>943666.10270000005</v>
      </c>
      <c r="F17" s="67">
        <v>10033</v>
      </c>
      <c r="G17" s="67">
        <v>593520.87670000002</v>
      </c>
      <c r="H17" s="67">
        <v>918</v>
      </c>
      <c r="I17" s="67">
        <v>127582.62999999999</v>
      </c>
      <c r="J17" s="67">
        <v>107</v>
      </c>
      <c r="K17" s="67">
        <v>40827.170000000006</v>
      </c>
      <c r="L17" s="67">
        <v>78</v>
      </c>
      <c r="M17" s="67">
        <v>31523.13</v>
      </c>
      <c r="N17" s="67">
        <v>841</v>
      </c>
      <c r="O17" s="67">
        <v>150212.29599999997</v>
      </c>
    </row>
    <row r="18" spans="2:15" ht="18" customHeight="1">
      <c r="B18" s="123" t="s">
        <v>971</v>
      </c>
      <c r="C18" s="62" t="s">
        <v>917</v>
      </c>
      <c r="D18" s="67">
        <v>4789</v>
      </c>
      <c r="E18" s="67">
        <v>2130368.1437000004</v>
      </c>
      <c r="F18" s="67">
        <v>3416</v>
      </c>
      <c r="G18" s="67">
        <v>1129880.3666000001</v>
      </c>
      <c r="H18" s="67">
        <v>1221</v>
      </c>
      <c r="I18" s="67">
        <v>822674.82810000004</v>
      </c>
      <c r="J18" s="67">
        <v>39</v>
      </c>
      <c r="K18" s="67">
        <v>39676.377999999997</v>
      </c>
      <c r="L18" s="67">
        <v>59</v>
      </c>
      <c r="M18" s="67">
        <v>83951.414999999994</v>
      </c>
      <c r="N18" s="67">
        <v>54</v>
      </c>
      <c r="O18" s="67">
        <v>54185.155999999995</v>
      </c>
    </row>
    <row r="19" spans="2:15" ht="18" customHeight="1">
      <c r="B19" s="124"/>
      <c r="C19" s="60" t="s">
        <v>964</v>
      </c>
      <c r="D19" s="67">
        <v>27</v>
      </c>
      <c r="E19" s="67">
        <v>31178.708699999999</v>
      </c>
      <c r="F19" s="67">
        <v>15</v>
      </c>
      <c r="G19" s="67">
        <v>18708.097600000001</v>
      </c>
      <c r="H19" s="67">
        <v>11</v>
      </c>
      <c r="I19" s="67">
        <v>12207.651099999999</v>
      </c>
      <c r="J19" s="67">
        <v>0</v>
      </c>
      <c r="K19" s="67">
        <v>0</v>
      </c>
      <c r="L19" s="67">
        <v>1</v>
      </c>
      <c r="M19" s="67">
        <v>262.95999999999998</v>
      </c>
      <c r="N19" s="67">
        <v>0</v>
      </c>
      <c r="O19" s="67">
        <v>0</v>
      </c>
    </row>
    <row r="20" spans="2:15" ht="18" customHeight="1">
      <c r="B20" s="124"/>
      <c r="C20" s="60" t="s">
        <v>965</v>
      </c>
      <c r="D20" s="67">
        <v>41</v>
      </c>
      <c r="E20" s="67">
        <v>16655.439999999999</v>
      </c>
      <c r="F20" s="67">
        <v>9</v>
      </c>
      <c r="G20" s="67">
        <v>3293.08</v>
      </c>
      <c r="H20" s="67">
        <v>31</v>
      </c>
      <c r="I20" s="67">
        <v>12867.64</v>
      </c>
      <c r="J20" s="67">
        <v>0</v>
      </c>
      <c r="K20" s="67">
        <v>0</v>
      </c>
      <c r="L20" s="67">
        <v>0</v>
      </c>
      <c r="M20" s="67">
        <v>0</v>
      </c>
      <c r="N20" s="67">
        <v>1</v>
      </c>
      <c r="O20" s="67">
        <v>494.72</v>
      </c>
    </row>
    <row r="21" spans="2:15" ht="18" customHeight="1">
      <c r="B21" s="124"/>
      <c r="C21" s="60" t="s">
        <v>966</v>
      </c>
      <c r="D21" s="67">
        <v>88</v>
      </c>
      <c r="E21" s="67">
        <v>74800.118000000002</v>
      </c>
      <c r="F21" s="67">
        <v>35</v>
      </c>
      <c r="G21" s="67">
        <v>10426.81</v>
      </c>
      <c r="H21" s="67">
        <v>47</v>
      </c>
      <c r="I21" s="67">
        <v>56241.95</v>
      </c>
      <c r="J21" s="67">
        <v>2</v>
      </c>
      <c r="K21" s="67">
        <v>5189.5379999999996</v>
      </c>
      <c r="L21" s="67">
        <v>1</v>
      </c>
      <c r="M21" s="67">
        <v>2003</v>
      </c>
      <c r="N21" s="67">
        <v>3</v>
      </c>
      <c r="O21" s="67">
        <v>938.82</v>
      </c>
    </row>
    <row r="22" spans="2:15" ht="18" customHeight="1">
      <c r="B22" s="124"/>
      <c r="C22" s="60" t="s">
        <v>967</v>
      </c>
      <c r="D22" s="67">
        <v>195</v>
      </c>
      <c r="E22" s="67">
        <v>121378.02300000002</v>
      </c>
      <c r="F22" s="67">
        <v>109</v>
      </c>
      <c r="G22" s="67">
        <v>54259.993000000002</v>
      </c>
      <c r="H22" s="67">
        <v>80</v>
      </c>
      <c r="I22" s="67">
        <v>62534.74</v>
      </c>
      <c r="J22" s="67">
        <v>1</v>
      </c>
      <c r="K22" s="67">
        <v>1797.12</v>
      </c>
      <c r="L22" s="67">
        <v>4</v>
      </c>
      <c r="M22" s="67">
        <v>1755.6</v>
      </c>
      <c r="N22" s="67">
        <v>1</v>
      </c>
      <c r="O22" s="67">
        <v>1030.57</v>
      </c>
    </row>
    <row r="23" spans="2:15" ht="18" customHeight="1">
      <c r="B23" s="124"/>
      <c r="C23" s="60" t="s">
        <v>968</v>
      </c>
      <c r="D23" s="67">
        <v>462</v>
      </c>
      <c r="E23" s="67">
        <v>225887.45</v>
      </c>
      <c r="F23" s="67">
        <v>336</v>
      </c>
      <c r="G23" s="67">
        <v>106076.98</v>
      </c>
      <c r="H23" s="67">
        <v>115</v>
      </c>
      <c r="I23" s="67">
        <v>101485.535</v>
      </c>
      <c r="J23" s="67">
        <v>0</v>
      </c>
      <c r="K23" s="67">
        <v>1270.05</v>
      </c>
      <c r="L23" s="67">
        <v>8</v>
      </c>
      <c r="M23" s="67">
        <v>10226.325000000001</v>
      </c>
      <c r="N23" s="67">
        <v>3</v>
      </c>
      <c r="O23" s="67">
        <v>6828.56</v>
      </c>
    </row>
    <row r="24" spans="2:15" ht="18" customHeight="1">
      <c r="B24" s="124"/>
      <c r="C24" s="60" t="s">
        <v>969</v>
      </c>
      <c r="D24" s="67">
        <v>879</v>
      </c>
      <c r="E24" s="67">
        <v>364690.20399999997</v>
      </c>
      <c r="F24" s="67">
        <v>736</v>
      </c>
      <c r="G24" s="67">
        <v>221919.84099999999</v>
      </c>
      <c r="H24" s="67">
        <v>131</v>
      </c>
      <c r="I24" s="67">
        <v>132282.217</v>
      </c>
      <c r="J24" s="67">
        <v>1</v>
      </c>
      <c r="K24" s="67">
        <v>1490.5</v>
      </c>
      <c r="L24" s="67">
        <v>8</v>
      </c>
      <c r="M24" s="67">
        <v>3817.31</v>
      </c>
      <c r="N24" s="67">
        <v>3</v>
      </c>
      <c r="O24" s="67">
        <v>5180.3360000000002</v>
      </c>
    </row>
    <row r="25" spans="2:15" ht="18" customHeight="1">
      <c r="B25" s="124"/>
      <c r="C25" s="60" t="s">
        <v>970</v>
      </c>
      <c r="D25" s="67">
        <v>2773</v>
      </c>
      <c r="E25" s="67">
        <v>1266263.0000000002</v>
      </c>
      <c r="F25" s="67">
        <v>1993</v>
      </c>
      <c r="G25" s="67">
        <v>704698.09499999997</v>
      </c>
      <c r="H25" s="67">
        <v>687</v>
      </c>
      <c r="I25" s="67">
        <v>430823.875</v>
      </c>
      <c r="J25" s="67">
        <v>30</v>
      </c>
      <c r="K25" s="67">
        <v>28677.33</v>
      </c>
      <c r="L25" s="67">
        <v>36</v>
      </c>
      <c r="M25" s="67">
        <v>65091.360000000001</v>
      </c>
      <c r="N25" s="67">
        <v>27</v>
      </c>
      <c r="O25" s="67">
        <v>36972.339999999997</v>
      </c>
    </row>
    <row r="26" spans="2:15" ht="18" customHeight="1">
      <c r="B26" s="125"/>
      <c r="C26" s="60" t="s">
        <v>1037</v>
      </c>
      <c r="D26" s="67">
        <v>324</v>
      </c>
      <c r="E26" s="67">
        <v>29515.200000000001</v>
      </c>
      <c r="F26" s="67">
        <v>183</v>
      </c>
      <c r="G26" s="67">
        <v>10497.47</v>
      </c>
      <c r="H26" s="67">
        <v>119</v>
      </c>
      <c r="I26" s="67">
        <v>14231.22</v>
      </c>
      <c r="J26" s="67">
        <v>5</v>
      </c>
      <c r="K26" s="67">
        <v>1251.8399999999999</v>
      </c>
      <c r="L26" s="67">
        <v>1</v>
      </c>
      <c r="M26" s="67">
        <v>794.86</v>
      </c>
      <c r="N26" s="67">
        <v>16</v>
      </c>
      <c r="O26" s="67">
        <v>2739.81</v>
      </c>
    </row>
    <row r="27" spans="2:15" ht="18" customHeight="1">
      <c r="B27" s="123" t="s">
        <v>972</v>
      </c>
      <c r="C27" s="59" t="s">
        <v>917</v>
      </c>
      <c r="D27" s="67">
        <v>3676</v>
      </c>
      <c r="E27" s="67">
        <v>760198.48910000001</v>
      </c>
      <c r="F27" s="67">
        <v>2547</v>
      </c>
      <c r="G27" s="67">
        <v>346241.44410000002</v>
      </c>
      <c r="H27" s="67">
        <v>663</v>
      </c>
      <c r="I27" s="67">
        <v>266673.30099999998</v>
      </c>
      <c r="J27" s="67">
        <v>55</v>
      </c>
      <c r="K27" s="67">
        <v>32762.732999999997</v>
      </c>
      <c r="L27" s="67">
        <v>28</v>
      </c>
      <c r="M27" s="67">
        <v>26647.555</v>
      </c>
      <c r="N27" s="67">
        <v>383</v>
      </c>
      <c r="O27" s="67">
        <v>87873.456000000006</v>
      </c>
    </row>
    <row r="28" spans="2:15" ht="18" customHeight="1">
      <c r="B28" s="124"/>
      <c r="C28" s="60" t="s">
        <v>964</v>
      </c>
      <c r="D28" s="67">
        <v>48</v>
      </c>
      <c r="E28" s="67">
        <v>25572.013200000001</v>
      </c>
      <c r="F28" s="67">
        <v>16</v>
      </c>
      <c r="G28" s="67">
        <v>2349.11</v>
      </c>
      <c r="H28" s="67">
        <v>22</v>
      </c>
      <c r="I28" s="67">
        <v>12207.7132</v>
      </c>
      <c r="J28" s="67">
        <v>0</v>
      </c>
      <c r="K28" s="67">
        <v>0</v>
      </c>
      <c r="L28" s="67">
        <v>4</v>
      </c>
      <c r="M28" s="67">
        <v>4504.68</v>
      </c>
      <c r="N28" s="67">
        <v>6</v>
      </c>
      <c r="O28" s="67">
        <v>6510.51</v>
      </c>
    </row>
    <row r="29" spans="2:15" ht="18" customHeight="1">
      <c r="B29" s="124"/>
      <c r="C29" s="60" t="s">
        <v>965</v>
      </c>
      <c r="D29" s="67">
        <v>149</v>
      </c>
      <c r="E29" s="67">
        <v>48761.048899999994</v>
      </c>
      <c r="F29" s="67">
        <v>38</v>
      </c>
      <c r="G29" s="67">
        <v>8507.4711000000007</v>
      </c>
      <c r="H29" s="67">
        <v>100</v>
      </c>
      <c r="I29" s="67">
        <v>34436.177799999998</v>
      </c>
      <c r="J29" s="67">
        <v>2</v>
      </c>
      <c r="K29" s="67">
        <v>2582.2399999999998</v>
      </c>
      <c r="L29" s="67">
        <v>0</v>
      </c>
      <c r="M29" s="67">
        <v>0</v>
      </c>
      <c r="N29" s="67">
        <v>9</v>
      </c>
      <c r="O29" s="67">
        <v>3235.16</v>
      </c>
    </row>
    <row r="30" spans="2:15" ht="18" customHeight="1">
      <c r="B30" s="124"/>
      <c r="C30" s="60" t="s">
        <v>966</v>
      </c>
      <c r="D30" s="67">
        <v>201</v>
      </c>
      <c r="E30" s="67">
        <v>76729.12000000001</v>
      </c>
      <c r="F30" s="67">
        <v>38</v>
      </c>
      <c r="G30" s="67">
        <v>6976.58</v>
      </c>
      <c r="H30" s="67">
        <v>124</v>
      </c>
      <c r="I30" s="67">
        <v>45855.105000000003</v>
      </c>
      <c r="J30" s="67">
        <v>1</v>
      </c>
      <c r="K30" s="67">
        <v>2703.18</v>
      </c>
      <c r="L30" s="67">
        <v>3</v>
      </c>
      <c r="M30" s="67">
        <v>8597.7199999999993</v>
      </c>
      <c r="N30" s="67">
        <v>35</v>
      </c>
      <c r="O30" s="67">
        <v>12596.535</v>
      </c>
    </row>
    <row r="31" spans="2:15" ht="18" customHeight="1">
      <c r="B31" s="124"/>
      <c r="C31" s="60" t="s">
        <v>967</v>
      </c>
      <c r="D31" s="67">
        <v>228</v>
      </c>
      <c r="E31" s="67">
        <v>87235.99</v>
      </c>
      <c r="F31" s="67">
        <v>79</v>
      </c>
      <c r="G31" s="67">
        <v>18132.785</v>
      </c>
      <c r="H31" s="67">
        <v>57</v>
      </c>
      <c r="I31" s="67">
        <v>36242.089999999997</v>
      </c>
      <c r="J31" s="67">
        <v>4</v>
      </c>
      <c r="K31" s="67">
        <v>4101.12</v>
      </c>
      <c r="L31" s="67">
        <v>1</v>
      </c>
      <c r="M31" s="67">
        <v>1081.08</v>
      </c>
      <c r="N31" s="67">
        <v>87</v>
      </c>
      <c r="O31" s="67">
        <v>27678.915000000001</v>
      </c>
    </row>
    <row r="32" spans="2:15" ht="18" customHeight="1">
      <c r="B32" s="124"/>
      <c r="C32" s="60" t="s">
        <v>968</v>
      </c>
      <c r="D32" s="67">
        <v>233</v>
      </c>
      <c r="E32" s="67">
        <v>73291.025999999998</v>
      </c>
      <c r="F32" s="67">
        <v>153</v>
      </c>
      <c r="G32" s="67">
        <v>33856.497000000003</v>
      </c>
      <c r="H32" s="67">
        <v>39</v>
      </c>
      <c r="I32" s="67">
        <v>26333.548999999999</v>
      </c>
      <c r="J32" s="67">
        <v>2</v>
      </c>
      <c r="K32" s="67">
        <v>259.2</v>
      </c>
      <c r="L32" s="67">
        <v>7</v>
      </c>
      <c r="M32" s="67">
        <v>5623.06</v>
      </c>
      <c r="N32" s="67">
        <v>32</v>
      </c>
      <c r="O32" s="67">
        <v>7218.72</v>
      </c>
    </row>
    <row r="33" spans="2:15" ht="18" customHeight="1">
      <c r="B33" s="124"/>
      <c r="C33" s="60" t="s">
        <v>969</v>
      </c>
      <c r="D33" s="67">
        <v>317</v>
      </c>
      <c r="E33" s="67">
        <v>74750.929999999993</v>
      </c>
      <c r="F33" s="67">
        <v>230</v>
      </c>
      <c r="G33" s="67">
        <v>35936.084999999999</v>
      </c>
      <c r="H33" s="67">
        <v>65</v>
      </c>
      <c r="I33" s="67">
        <v>30820.564999999999</v>
      </c>
      <c r="J33" s="67">
        <v>3</v>
      </c>
      <c r="K33" s="67">
        <v>1953.31</v>
      </c>
      <c r="L33" s="67">
        <v>2</v>
      </c>
      <c r="M33" s="67">
        <v>2931.06</v>
      </c>
      <c r="N33" s="67">
        <v>17</v>
      </c>
      <c r="O33" s="67">
        <v>3109.91</v>
      </c>
    </row>
    <row r="34" spans="2:15" ht="18" customHeight="1">
      <c r="B34" s="124"/>
      <c r="C34" s="60" t="s">
        <v>970</v>
      </c>
      <c r="D34" s="67">
        <v>1676</v>
      </c>
      <c r="E34" s="67">
        <v>329054.30599999998</v>
      </c>
      <c r="F34" s="67">
        <v>1392</v>
      </c>
      <c r="G34" s="67">
        <v>209930.451</v>
      </c>
      <c r="H34" s="67">
        <v>210</v>
      </c>
      <c r="I34" s="67">
        <v>74603.180999999997</v>
      </c>
      <c r="J34" s="67">
        <v>34</v>
      </c>
      <c r="K34" s="67">
        <v>19441.172999999999</v>
      </c>
      <c r="L34" s="67">
        <v>6</v>
      </c>
      <c r="M34" s="67">
        <v>3314.9549999999999</v>
      </c>
      <c r="N34" s="67">
        <v>34</v>
      </c>
      <c r="O34" s="67">
        <v>21764.545999999998</v>
      </c>
    </row>
    <row r="35" spans="2:15" ht="18" customHeight="1">
      <c r="B35" s="125"/>
      <c r="C35" s="60" t="s">
        <v>1037</v>
      </c>
      <c r="D35" s="67">
        <v>824</v>
      </c>
      <c r="E35" s="67">
        <v>44804.055000000008</v>
      </c>
      <c r="F35" s="67">
        <v>601</v>
      </c>
      <c r="G35" s="67">
        <v>30552.465</v>
      </c>
      <c r="H35" s="67">
        <v>46</v>
      </c>
      <c r="I35" s="67">
        <v>6174.92</v>
      </c>
      <c r="J35" s="67">
        <v>9</v>
      </c>
      <c r="K35" s="67">
        <v>1722.51</v>
      </c>
      <c r="L35" s="67">
        <v>5</v>
      </c>
      <c r="M35" s="67">
        <v>595</v>
      </c>
      <c r="N35" s="67">
        <v>163</v>
      </c>
      <c r="O35" s="67">
        <v>5759.16</v>
      </c>
    </row>
    <row r="36" spans="2:15" ht="18" customHeight="1">
      <c r="B36" s="123" t="s">
        <v>973</v>
      </c>
      <c r="C36" s="59" t="s">
        <v>917</v>
      </c>
      <c r="D36" s="67">
        <v>1945</v>
      </c>
      <c r="E36" s="67">
        <v>812033.27560000005</v>
      </c>
      <c r="F36" s="67">
        <v>1383</v>
      </c>
      <c r="G36" s="67">
        <v>430011.36350000009</v>
      </c>
      <c r="H36" s="67">
        <v>383</v>
      </c>
      <c r="I36" s="67">
        <v>242982.21009999997</v>
      </c>
      <c r="J36" s="67">
        <v>72</v>
      </c>
      <c r="K36" s="67">
        <v>58367.99</v>
      </c>
      <c r="L36" s="67">
        <v>20</v>
      </c>
      <c r="M36" s="67">
        <v>23955.035</v>
      </c>
      <c r="N36" s="67">
        <v>87</v>
      </c>
      <c r="O36" s="67">
        <v>56716.677000000003</v>
      </c>
    </row>
    <row r="37" spans="2:15" ht="18" customHeight="1">
      <c r="B37" s="124"/>
      <c r="C37" s="60" t="s">
        <v>964</v>
      </c>
      <c r="D37" s="67">
        <v>61</v>
      </c>
      <c r="E37" s="67">
        <v>174275.1789</v>
      </c>
      <c r="F37" s="67">
        <v>19</v>
      </c>
      <c r="G37" s="67">
        <v>118238.3423</v>
      </c>
      <c r="H37" s="67">
        <v>29</v>
      </c>
      <c r="I37" s="67">
        <v>47926.0046</v>
      </c>
      <c r="J37" s="67">
        <v>1</v>
      </c>
      <c r="K37" s="67">
        <v>313.2</v>
      </c>
      <c r="L37" s="67">
        <v>2</v>
      </c>
      <c r="M37" s="67">
        <v>3130.96</v>
      </c>
      <c r="N37" s="67">
        <v>10</v>
      </c>
      <c r="O37" s="67">
        <v>4666.6719999999996</v>
      </c>
    </row>
    <row r="38" spans="2:15" ht="18" customHeight="1">
      <c r="B38" s="124"/>
      <c r="C38" s="60" t="s">
        <v>965</v>
      </c>
      <c r="D38" s="67">
        <v>57</v>
      </c>
      <c r="E38" s="67">
        <v>26751.23</v>
      </c>
      <c r="F38" s="67">
        <v>9</v>
      </c>
      <c r="G38" s="67">
        <v>5612.2150000000001</v>
      </c>
      <c r="H38" s="67">
        <v>37</v>
      </c>
      <c r="I38" s="67">
        <v>15205.965</v>
      </c>
      <c r="J38" s="67">
        <v>2</v>
      </c>
      <c r="K38" s="67">
        <v>1085.7</v>
      </c>
      <c r="L38" s="67">
        <v>2</v>
      </c>
      <c r="M38" s="67">
        <v>3610.09</v>
      </c>
      <c r="N38" s="67">
        <v>7</v>
      </c>
      <c r="O38" s="67">
        <v>1237.26</v>
      </c>
    </row>
    <row r="39" spans="2:15" ht="18" customHeight="1">
      <c r="B39" s="124"/>
      <c r="C39" s="60" t="s">
        <v>966</v>
      </c>
      <c r="D39" s="67">
        <v>39</v>
      </c>
      <c r="E39" s="67">
        <v>9217.4</v>
      </c>
      <c r="F39" s="67">
        <v>10</v>
      </c>
      <c r="G39" s="67">
        <v>1855.91</v>
      </c>
      <c r="H39" s="67">
        <v>23</v>
      </c>
      <c r="I39" s="67">
        <v>6501.58</v>
      </c>
      <c r="J39" s="67">
        <v>0</v>
      </c>
      <c r="K39" s="67">
        <v>0</v>
      </c>
      <c r="L39" s="67">
        <v>0</v>
      </c>
      <c r="M39" s="67">
        <v>0</v>
      </c>
      <c r="N39" s="67">
        <v>6</v>
      </c>
      <c r="O39" s="67">
        <v>859.91</v>
      </c>
    </row>
    <row r="40" spans="2:15" ht="18" customHeight="1">
      <c r="B40" s="124"/>
      <c r="C40" s="60" t="s">
        <v>967</v>
      </c>
      <c r="D40" s="67">
        <v>99</v>
      </c>
      <c r="E40" s="67">
        <v>107939.81599999999</v>
      </c>
      <c r="F40" s="67">
        <v>47</v>
      </c>
      <c r="G40" s="67">
        <v>20781.696</v>
      </c>
      <c r="H40" s="67">
        <v>32</v>
      </c>
      <c r="I40" s="67">
        <v>52617.279999999999</v>
      </c>
      <c r="J40" s="67">
        <v>2</v>
      </c>
      <c r="K40" s="67">
        <v>2288.36</v>
      </c>
      <c r="L40" s="67">
        <v>1</v>
      </c>
      <c r="M40" s="67">
        <v>1663.53</v>
      </c>
      <c r="N40" s="67">
        <v>17</v>
      </c>
      <c r="O40" s="67">
        <v>30588.95</v>
      </c>
    </row>
    <row r="41" spans="2:15" ht="18" customHeight="1">
      <c r="B41" s="124"/>
      <c r="C41" s="60" t="s">
        <v>968</v>
      </c>
      <c r="D41" s="67">
        <v>169</v>
      </c>
      <c r="E41" s="67">
        <v>49362.387000000002</v>
      </c>
      <c r="F41" s="67">
        <v>115</v>
      </c>
      <c r="G41" s="67">
        <v>18866.287</v>
      </c>
      <c r="H41" s="67">
        <v>28</v>
      </c>
      <c r="I41" s="67">
        <v>20347.84</v>
      </c>
      <c r="J41" s="67">
        <v>11</v>
      </c>
      <c r="K41" s="67">
        <v>5206.53</v>
      </c>
      <c r="L41" s="67">
        <v>3</v>
      </c>
      <c r="M41" s="67">
        <v>2533.58</v>
      </c>
      <c r="N41" s="67">
        <v>12</v>
      </c>
      <c r="O41" s="67">
        <v>2408.15</v>
      </c>
    </row>
    <row r="42" spans="2:15" ht="18" customHeight="1">
      <c r="B42" s="124"/>
      <c r="C42" s="60" t="s">
        <v>969</v>
      </c>
      <c r="D42" s="67">
        <v>182</v>
      </c>
      <c r="E42" s="67">
        <v>71887.179999999993</v>
      </c>
      <c r="F42" s="67">
        <v>108</v>
      </c>
      <c r="G42" s="67">
        <v>23044.075000000001</v>
      </c>
      <c r="H42" s="67">
        <v>51</v>
      </c>
      <c r="I42" s="67">
        <v>28738.83</v>
      </c>
      <c r="J42" s="67">
        <v>17</v>
      </c>
      <c r="K42" s="67">
        <v>13606.39</v>
      </c>
      <c r="L42" s="67">
        <v>4</v>
      </c>
      <c r="M42" s="67">
        <v>4043.6849999999999</v>
      </c>
      <c r="N42" s="67">
        <v>2</v>
      </c>
      <c r="O42" s="67">
        <v>2454.1999999999998</v>
      </c>
    </row>
    <row r="43" spans="2:15" ht="18" customHeight="1">
      <c r="B43" s="124"/>
      <c r="C43" s="60" t="s">
        <v>970</v>
      </c>
      <c r="D43" s="67">
        <v>1131</v>
      </c>
      <c r="E43" s="67">
        <v>356924.63370000001</v>
      </c>
      <c r="F43" s="67">
        <v>913</v>
      </c>
      <c r="G43" s="67">
        <v>233914.19820000001</v>
      </c>
      <c r="H43" s="67">
        <v>150</v>
      </c>
      <c r="I43" s="67">
        <v>66423.520499999999</v>
      </c>
      <c r="J43" s="67">
        <v>36</v>
      </c>
      <c r="K43" s="67">
        <v>35567.29</v>
      </c>
      <c r="L43" s="67">
        <v>7</v>
      </c>
      <c r="M43" s="67">
        <v>8939.24</v>
      </c>
      <c r="N43" s="67">
        <v>25</v>
      </c>
      <c r="O43" s="67">
        <v>12080.385</v>
      </c>
    </row>
    <row r="44" spans="2:15" ht="18" customHeight="1">
      <c r="B44" s="125"/>
      <c r="C44" s="60" t="s">
        <v>1037</v>
      </c>
      <c r="D44" s="67">
        <v>207</v>
      </c>
      <c r="E44" s="67">
        <v>15675.45</v>
      </c>
      <c r="F44" s="67">
        <v>162</v>
      </c>
      <c r="G44" s="67">
        <v>7698.64</v>
      </c>
      <c r="H44" s="67">
        <v>33</v>
      </c>
      <c r="I44" s="67">
        <v>5221.1899999999996</v>
      </c>
      <c r="J44" s="67">
        <v>3</v>
      </c>
      <c r="K44" s="67">
        <v>300.52</v>
      </c>
      <c r="L44" s="67">
        <v>1</v>
      </c>
      <c r="M44" s="67">
        <v>33.950000000000003</v>
      </c>
      <c r="N44" s="67">
        <v>8</v>
      </c>
      <c r="O44" s="67">
        <v>2421.15</v>
      </c>
    </row>
    <row r="45" spans="2:15" ht="18" customHeight="1">
      <c r="B45" s="123" t="s">
        <v>974</v>
      </c>
      <c r="C45" s="59" t="s">
        <v>917</v>
      </c>
      <c r="D45" s="67">
        <v>1539</v>
      </c>
      <c r="E45" s="67">
        <v>545880.13820000004</v>
      </c>
      <c r="F45" s="67">
        <v>1078</v>
      </c>
      <c r="G45" s="67">
        <v>261582.89330000003</v>
      </c>
      <c r="H45" s="67">
        <v>252</v>
      </c>
      <c r="I45" s="67">
        <v>114837.37790000001</v>
      </c>
      <c r="J45" s="67">
        <v>105</v>
      </c>
      <c r="K45" s="67">
        <v>110213.895</v>
      </c>
      <c r="L45" s="67">
        <v>20</v>
      </c>
      <c r="M45" s="67">
        <v>19532.441999999999</v>
      </c>
      <c r="N45" s="67">
        <v>84</v>
      </c>
      <c r="O45" s="67">
        <v>39713.53</v>
      </c>
    </row>
    <row r="46" spans="2:15" ht="18" customHeight="1">
      <c r="B46" s="124"/>
      <c r="C46" s="60" t="s">
        <v>964</v>
      </c>
      <c r="D46" s="67">
        <v>59</v>
      </c>
      <c r="E46" s="67">
        <v>112995.28420000001</v>
      </c>
      <c r="F46" s="67">
        <v>17</v>
      </c>
      <c r="G46" s="67">
        <v>97885.153300000005</v>
      </c>
      <c r="H46" s="67">
        <v>17</v>
      </c>
      <c r="I46" s="67">
        <v>6577.6908999999996</v>
      </c>
      <c r="J46" s="67">
        <v>7</v>
      </c>
      <c r="K46" s="67">
        <v>4785.41</v>
      </c>
      <c r="L46" s="67">
        <v>0</v>
      </c>
      <c r="M46" s="67">
        <v>0</v>
      </c>
      <c r="N46" s="67">
        <v>18</v>
      </c>
      <c r="O46" s="67">
        <v>3747.03</v>
      </c>
    </row>
    <row r="47" spans="2:15" ht="18" customHeight="1">
      <c r="B47" s="124"/>
      <c r="C47" s="60" t="s">
        <v>965</v>
      </c>
      <c r="D47" s="67">
        <v>23</v>
      </c>
      <c r="E47" s="67">
        <v>9518.68</v>
      </c>
      <c r="F47" s="67">
        <v>4</v>
      </c>
      <c r="G47" s="67">
        <v>582.4</v>
      </c>
      <c r="H47" s="67">
        <v>10</v>
      </c>
      <c r="I47" s="67">
        <v>4724.6099999999997</v>
      </c>
      <c r="J47" s="67">
        <v>2</v>
      </c>
      <c r="K47" s="67">
        <v>1744.3</v>
      </c>
      <c r="L47" s="67">
        <v>0</v>
      </c>
      <c r="M47" s="67">
        <v>0</v>
      </c>
      <c r="N47" s="67">
        <v>7</v>
      </c>
      <c r="O47" s="67">
        <v>2467.37</v>
      </c>
    </row>
    <row r="48" spans="2:15" ht="18" customHeight="1">
      <c r="B48" s="124"/>
      <c r="C48" s="60" t="s">
        <v>966</v>
      </c>
      <c r="D48" s="67">
        <v>47</v>
      </c>
      <c r="E48" s="67">
        <v>27724.120000000003</v>
      </c>
      <c r="F48" s="67">
        <v>13</v>
      </c>
      <c r="G48" s="67">
        <v>4902.9650000000001</v>
      </c>
      <c r="H48" s="67">
        <v>18</v>
      </c>
      <c r="I48" s="67">
        <v>11458.145</v>
      </c>
      <c r="J48" s="67">
        <v>8</v>
      </c>
      <c r="K48" s="67">
        <v>9756.1200000000008</v>
      </c>
      <c r="L48" s="67">
        <v>1</v>
      </c>
      <c r="M48" s="67">
        <v>623</v>
      </c>
      <c r="N48" s="67">
        <v>7</v>
      </c>
      <c r="O48" s="67">
        <v>983.89</v>
      </c>
    </row>
    <row r="49" spans="2:15" ht="18" customHeight="1">
      <c r="B49" s="124"/>
      <c r="C49" s="60" t="s">
        <v>967</v>
      </c>
      <c r="D49" s="67">
        <v>87</v>
      </c>
      <c r="E49" s="67">
        <v>30627.199999999997</v>
      </c>
      <c r="F49" s="67">
        <v>49</v>
      </c>
      <c r="G49" s="67">
        <v>17409.53</v>
      </c>
      <c r="H49" s="67">
        <v>25</v>
      </c>
      <c r="I49" s="67">
        <v>7765.07</v>
      </c>
      <c r="J49" s="67">
        <v>3</v>
      </c>
      <c r="K49" s="67">
        <v>2897.94</v>
      </c>
      <c r="L49" s="67">
        <v>1</v>
      </c>
      <c r="M49" s="67">
        <v>264.56</v>
      </c>
      <c r="N49" s="67">
        <v>9</v>
      </c>
      <c r="O49" s="67">
        <v>2290.1</v>
      </c>
    </row>
    <row r="50" spans="2:15" ht="18" customHeight="1">
      <c r="B50" s="124"/>
      <c r="C50" s="60" t="s">
        <v>968</v>
      </c>
      <c r="D50" s="67">
        <v>116</v>
      </c>
      <c r="E50" s="67">
        <v>50633.775999999998</v>
      </c>
      <c r="F50" s="67">
        <v>46</v>
      </c>
      <c r="G50" s="67">
        <v>11060.788</v>
      </c>
      <c r="H50" s="67">
        <v>45</v>
      </c>
      <c r="I50" s="67">
        <v>17657.527999999998</v>
      </c>
      <c r="J50" s="67">
        <v>8</v>
      </c>
      <c r="K50" s="67">
        <v>8363.61</v>
      </c>
      <c r="L50" s="67">
        <v>7</v>
      </c>
      <c r="M50" s="67">
        <v>10264.56</v>
      </c>
      <c r="N50" s="67">
        <v>10</v>
      </c>
      <c r="O50" s="67">
        <v>3287.29</v>
      </c>
    </row>
    <row r="51" spans="2:15" ht="18" customHeight="1">
      <c r="B51" s="124"/>
      <c r="C51" s="60" t="s">
        <v>969</v>
      </c>
      <c r="D51" s="67">
        <v>169</v>
      </c>
      <c r="E51" s="67">
        <v>103934.378</v>
      </c>
      <c r="F51" s="67">
        <v>118</v>
      </c>
      <c r="G51" s="67">
        <v>35340.800000000003</v>
      </c>
      <c r="H51" s="67">
        <v>28</v>
      </c>
      <c r="I51" s="67">
        <v>15831.888000000001</v>
      </c>
      <c r="J51" s="67">
        <v>11</v>
      </c>
      <c r="K51" s="67">
        <v>34144.730000000003</v>
      </c>
      <c r="L51" s="67">
        <v>3</v>
      </c>
      <c r="M51" s="67">
        <v>1948.7</v>
      </c>
      <c r="N51" s="67">
        <v>9</v>
      </c>
      <c r="O51" s="67">
        <v>16668.259999999998</v>
      </c>
    </row>
    <row r="52" spans="2:15" ht="18" customHeight="1">
      <c r="B52" s="124"/>
      <c r="C52" s="60" t="s">
        <v>970</v>
      </c>
      <c r="D52" s="67">
        <v>752</v>
      </c>
      <c r="E52" s="67">
        <v>187547.016</v>
      </c>
      <c r="F52" s="67">
        <v>581</v>
      </c>
      <c r="G52" s="67">
        <v>80419.823000000004</v>
      </c>
      <c r="H52" s="67">
        <v>88</v>
      </c>
      <c r="I52" s="67">
        <v>48422.175999999999</v>
      </c>
      <c r="J52" s="67">
        <v>61</v>
      </c>
      <c r="K52" s="67">
        <v>47649.614999999998</v>
      </c>
      <c r="L52" s="67">
        <v>8</v>
      </c>
      <c r="M52" s="67">
        <v>6431.6220000000003</v>
      </c>
      <c r="N52" s="67">
        <v>14</v>
      </c>
      <c r="O52" s="67">
        <v>4623.78</v>
      </c>
    </row>
    <row r="53" spans="2:15" ht="18" customHeight="1">
      <c r="B53" s="125"/>
      <c r="C53" s="60" t="s">
        <v>1037</v>
      </c>
      <c r="D53" s="67">
        <v>286</v>
      </c>
      <c r="E53" s="67">
        <v>22899.684000000001</v>
      </c>
      <c r="F53" s="67">
        <v>250</v>
      </c>
      <c r="G53" s="67">
        <v>13981.433999999999</v>
      </c>
      <c r="H53" s="67">
        <v>21</v>
      </c>
      <c r="I53" s="67">
        <v>2400.27</v>
      </c>
      <c r="J53" s="67">
        <v>5</v>
      </c>
      <c r="K53" s="67">
        <v>872.17</v>
      </c>
      <c r="L53" s="67">
        <v>0</v>
      </c>
      <c r="M53" s="67">
        <v>0</v>
      </c>
      <c r="N53" s="67">
        <v>10</v>
      </c>
      <c r="O53" s="67">
        <v>5645.81</v>
      </c>
    </row>
    <row r="54" spans="2:15" ht="18" customHeight="1">
      <c r="B54" s="123" t="s">
        <v>975</v>
      </c>
      <c r="C54" s="59" t="s">
        <v>917</v>
      </c>
      <c r="D54" s="67">
        <v>1041</v>
      </c>
      <c r="E54" s="67">
        <v>190237.01670000001</v>
      </c>
      <c r="F54" s="67">
        <v>755</v>
      </c>
      <c r="G54" s="67">
        <v>83906.428100000005</v>
      </c>
      <c r="H54" s="67">
        <v>229</v>
      </c>
      <c r="I54" s="67">
        <v>65062.438599999994</v>
      </c>
      <c r="J54" s="67">
        <v>4</v>
      </c>
      <c r="K54" s="67">
        <v>1257.55</v>
      </c>
      <c r="L54" s="67">
        <v>20</v>
      </c>
      <c r="M54" s="67">
        <v>28206.189999999995</v>
      </c>
      <c r="N54" s="67">
        <v>33</v>
      </c>
      <c r="O54" s="67">
        <v>11804.41</v>
      </c>
    </row>
    <row r="55" spans="2:15" ht="18" customHeight="1">
      <c r="B55" s="124"/>
      <c r="C55" s="60" t="s">
        <v>964</v>
      </c>
      <c r="D55" s="67">
        <v>30</v>
      </c>
      <c r="E55" s="67">
        <v>9159.9097000000002</v>
      </c>
      <c r="F55" s="67">
        <v>16</v>
      </c>
      <c r="G55" s="67">
        <v>5453.8680999999997</v>
      </c>
      <c r="H55" s="67">
        <v>11</v>
      </c>
      <c r="I55" s="67">
        <v>3466.7516000000001</v>
      </c>
      <c r="J55" s="67">
        <v>0</v>
      </c>
      <c r="K55" s="67">
        <v>0</v>
      </c>
      <c r="L55" s="67">
        <v>0</v>
      </c>
      <c r="M55" s="67">
        <v>0</v>
      </c>
      <c r="N55" s="67">
        <v>3</v>
      </c>
      <c r="O55" s="67">
        <v>239.29</v>
      </c>
    </row>
    <row r="56" spans="2:15" ht="18" customHeight="1">
      <c r="B56" s="124"/>
      <c r="C56" s="60" t="s">
        <v>965</v>
      </c>
      <c r="D56" s="67">
        <v>19</v>
      </c>
      <c r="E56" s="67">
        <v>3722.9700000000003</v>
      </c>
      <c r="F56" s="67">
        <v>8</v>
      </c>
      <c r="G56" s="67">
        <v>1719.425</v>
      </c>
      <c r="H56" s="67">
        <v>9</v>
      </c>
      <c r="I56" s="67">
        <v>1571.915</v>
      </c>
      <c r="J56" s="67">
        <v>0</v>
      </c>
      <c r="K56" s="67">
        <v>0</v>
      </c>
      <c r="L56" s="67">
        <v>0</v>
      </c>
      <c r="M56" s="67">
        <v>0</v>
      </c>
      <c r="N56" s="67">
        <v>2</v>
      </c>
      <c r="O56" s="67">
        <v>431.63</v>
      </c>
    </row>
    <row r="57" spans="2:15" ht="18" customHeight="1">
      <c r="B57" s="124"/>
      <c r="C57" s="60" t="s">
        <v>966</v>
      </c>
      <c r="D57" s="67">
        <v>46</v>
      </c>
      <c r="E57" s="67">
        <v>10637.660000000002</v>
      </c>
      <c r="F57" s="67">
        <v>8</v>
      </c>
      <c r="G57" s="67">
        <v>976.71</v>
      </c>
      <c r="H57" s="67">
        <v>29</v>
      </c>
      <c r="I57" s="67">
        <v>7288.26</v>
      </c>
      <c r="J57" s="67">
        <v>0</v>
      </c>
      <c r="K57" s="67">
        <v>0</v>
      </c>
      <c r="L57" s="67">
        <v>2</v>
      </c>
      <c r="M57" s="67">
        <v>982.37</v>
      </c>
      <c r="N57" s="67">
        <v>7</v>
      </c>
      <c r="O57" s="67">
        <v>1390.32</v>
      </c>
    </row>
    <row r="58" spans="2:15" ht="18" customHeight="1">
      <c r="B58" s="124"/>
      <c r="C58" s="60" t="s">
        <v>967</v>
      </c>
      <c r="D58" s="67">
        <v>48</v>
      </c>
      <c r="E58" s="67">
        <v>14536.945</v>
      </c>
      <c r="F58" s="67">
        <v>18</v>
      </c>
      <c r="G58" s="67">
        <v>3214.0680000000002</v>
      </c>
      <c r="H58" s="67">
        <v>23</v>
      </c>
      <c r="I58" s="67">
        <v>5839.2370000000001</v>
      </c>
      <c r="J58" s="67">
        <v>0</v>
      </c>
      <c r="K58" s="67">
        <v>0</v>
      </c>
      <c r="L58" s="67">
        <v>5</v>
      </c>
      <c r="M58" s="67">
        <v>5094.21</v>
      </c>
      <c r="N58" s="67">
        <v>2</v>
      </c>
      <c r="O58" s="67">
        <v>389.43</v>
      </c>
    </row>
    <row r="59" spans="2:15" ht="18" customHeight="1">
      <c r="B59" s="124"/>
      <c r="C59" s="60" t="s">
        <v>968</v>
      </c>
      <c r="D59" s="67">
        <v>83</v>
      </c>
      <c r="E59" s="67">
        <v>46359.414999999994</v>
      </c>
      <c r="F59" s="67">
        <v>43</v>
      </c>
      <c r="G59" s="67">
        <v>11061.885</v>
      </c>
      <c r="H59" s="67">
        <v>32</v>
      </c>
      <c r="I59" s="67">
        <v>15642.6</v>
      </c>
      <c r="J59" s="67">
        <v>0</v>
      </c>
      <c r="K59" s="67">
        <v>344.39</v>
      </c>
      <c r="L59" s="67">
        <v>6</v>
      </c>
      <c r="M59" s="67">
        <v>18794.48</v>
      </c>
      <c r="N59" s="67">
        <v>2</v>
      </c>
      <c r="O59" s="67">
        <v>516.05999999999995</v>
      </c>
    </row>
    <row r="60" spans="2:15" ht="18" customHeight="1">
      <c r="B60" s="124"/>
      <c r="C60" s="60" t="s">
        <v>969</v>
      </c>
      <c r="D60" s="67">
        <v>102</v>
      </c>
      <c r="E60" s="67">
        <v>29524.47</v>
      </c>
      <c r="F60" s="67">
        <v>61</v>
      </c>
      <c r="G60" s="67">
        <v>10364.525</v>
      </c>
      <c r="H60" s="67">
        <v>35</v>
      </c>
      <c r="I60" s="67">
        <v>12957.344999999999</v>
      </c>
      <c r="J60" s="67">
        <v>1</v>
      </c>
      <c r="K60" s="67">
        <v>195.84</v>
      </c>
      <c r="L60" s="67">
        <v>2</v>
      </c>
      <c r="M60" s="67">
        <v>1542.43</v>
      </c>
      <c r="N60" s="67">
        <v>3</v>
      </c>
      <c r="O60" s="67">
        <v>4464.33</v>
      </c>
    </row>
    <row r="61" spans="2:15" ht="18" customHeight="1">
      <c r="B61" s="124"/>
      <c r="C61" s="60" t="s">
        <v>970</v>
      </c>
      <c r="D61" s="67">
        <v>374</v>
      </c>
      <c r="E61" s="67">
        <v>52612.771999999997</v>
      </c>
      <c r="F61" s="67">
        <v>303</v>
      </c>
      <c r="G61" s="67">
        <v>34440.582000000002</v>
      </c>
      <c r="H61" s="67">
        <v>60</v>
      </c>
      <c r="I61" s="67">
        <v>13438.74</v>
      </c>
      <c r="J61" s="67">
        <v>2</v>
      </c>
      <c r="K61" s="67">
        <v>610.89</v>
      </c>
      <c r="L61" s="67">
        <v>4</v>
      </c>
      <c r="M61" s="67">
        <v>1135.92</v>
      </c>
      <c r="N61" s="67">
        <v>5</v>
      </c>
      <c r="O61" s="67">
        <v>2986.64</v>
      </c>
    </row>
    <row r="62" spans="2:15" ht="18" customHeight="1">
      <c r="B62" s="125"/>
      <c r="C62" s="60" t="s">
        <v>1037</v>
      </c>
      <c r="D62" s="67">
        <v>339</v>
      </c>
      <c r="E62" s="67">
        <v>23682.875</v>
      </c>
      <c r="F62" s="67">
        <v>298</v>
      </c>
      <c r="G62" s="67">
        <v>16675.365000000002</v>
      </c>
      <c r="H62" s="67">
        <v>30</v>
      </c>
      <c r="I62" s="67">
        <v>4857.59</v>
      </c>
      <c r="J62" s="67">
        <v>1</v>
      </c>
      <c r="K62" s="67">
        <v>106.43</v>
      </c>
      <c r="L62" s="67">
        <v>1</v>
      </c>
      <c r="M62" s="67">
        <v>656.78</v>
      </c>
      <c r="N62" s="67">
        <v>9</v>
      </c>
      <c r="O62" s="67">
        <v>1386.71</v>
      </c>
    </row>
    <row r="63" spans="2:15" ht="18" customHeight="1">
      <c r="B63" s="123" t="s">
        <v>976</v>
      </c>
      <c r="C63" s="59" t="s">
        <v>917</v>
      </c>
      <c r="D63" s="67">
        <v>1324</v>
      </c>
      <c r="E63" s="67">
        <v>312976.30070000002</v>
      </c>
      <c r="F63" s="67">
        <v>1029</v>
      </c>
      <c r="G63" s="67">
        <v>151245.179</v>
      </c>
      <c r="H63" s="67">
        <v>255</v>
      </c>
      <c r="I63" s="67">
        <v>135501.96350000001</v>
      </c>
      <c r="J63" s="67">
        <v>7</v>
      </c>
      <c r="K63" s="67">
        <v>2468.81</v>
      </c>
      <c r="L63" s="67">
        <v>14</v>
      </c>
      <c r="M63" s="67">
        <v>17130.834200000001</v>
      </c>
      <c r="N63" s="67">
        <v>19</v>
      </c>
      <c r="O63" s="67">
        <v>6629.5139999999992</v>
      </c>
    </row>
    <row r="64" spans="2:15" ht="18" customHeight="1">
      <c r="B64" s="124"/>
      <c r="C64" s="60" t="s">
        <v>964</v>
      </c>
      <c r="D64" s="67">
        <v>22</v>
      </c>
      <c r="E64" s="67">
        <v>7546.8700000000008</v>
      </c>
      <c r="F64" s="67">
        <v>13</v>
      </c>
      <c r="G64" s="67">
        <v>2279.8850000000002</v>
      </c>
      <c r="H64" s="67">
        <v>7</v>
      </c>
      <c r="I64" s="67">
        <v>4982.4750000000004</v>
      </c>
      <c r="J64" s="67">
        <v>0</v>
      </c>
      <c r="K64" s="67">
        <v>0</v>
      </c>
      <c r="L64" s="67">
        <v>0</v>
      </c>
      <c r="M64" s="67">
        <v>0</v>
      </c>
      <c r="N64" s="67">
        <v>2</v>
      </c>
      <c r="O64" s="67">
        <v>284.51</v>
      </c>
    </row>
    <row r="65" spans="2:15" ht="18" customHeight="1">
      <c r="B65" s="124"/>
      <c r="C65" s="60" t="s">
        <v>965</v>
      </c>
      <c r="D65" s="67">
        <v>21</v>
      </c>
      <c r="E65" s="67">
        <v>10331.529999999999</v>
      </c>
      <c r="F65" s="67">
        <v>11</v>
      </c>
      <c r="G65" s="67">
        <v>4394.21</v>
      </c>
      <c r="H65" s="67">
        <v>8</v>
      </c>
      <c r="I65" s="67">
        <v>5581.32</v>
      </c>
      <c r="J65" s="67">
        <v>0</v>
      </c>
      <c r="K65" s="67">
        <v>0</v>
      </c>
      <c r="L65" s="67">
        <v>0</v>
      </c>
      <c r="M65" s="67">
        <v>0</v>
      </c>
      <c r="N65" s="67">
        <v>2</v>
      </c>
      <c r="O65" s="67">
        <v>356</v>
      </c>
    </row>
    <row r="66" spans="2:15" ht="18" customHeight="1">
      <c r="B66" s="124"/>
      <c r="C66" s="60" t="s">
        <v>966</v>
      </c>
      <c r="D66" s="67">
        <v>81</v>
      </c>
      <c r="E66" s="67">
        <v>31496.935000000005</v>
      </c>
      <c r="F66" s="67">
        <v>42</v>
      </c>
      <c r="G66" s="67">
        <v>10539.87</v>
      </c>
      <c r="H66" s="67">
        <v>37</v>
      </c>
      <c r="I66" s="67">
        <v>20283.165000000001</v>
      </c>
      <c r="J66" s="67">
        <v>1</v>
      </c>
      <c r="K66" s="67">
        <v>569.79</v>
      </c>
      <c r="L66" s="67">
        <v>0</v>
      </c>
      <c r="M66" s="67">
        <v>0</v>
      </c>
      <c r="N66" s="67">
        <v>1</v>
      </c>
      <c r="O66" s="67">
        <v>104.11</v>
      </c>
    </row>
    <row r="67" spans="2:15" ht="18" customHeight="1">
      <c r="B67" s="124"/>
      <c r="C67" s="60" t="s">
        <v>967</v>
      </c>
      <c r="D67" s="67">
        <v>128</v>
      </c>
      <c r="E67" s="67">
        <v>67976.535199999998</v>
      </c>
      <c r="F67" s="67">
        <v>88</v>
      </c>
      <c r="G67" s="67">
        <v>22498.043000000001</v>
      </c>
      <c r="H67" s="67">
        <v>37</v>
      </c>
      <c r="I67" s="67">
        <v>37522.07</v>
      </c>
      <c r="J67" s="67">
        <v>0</v>
      </c>
      <c r="K67" s="67">
        <v>0</v>
      </c>
      <c r="L67" s="67">
        <v>2</v>
      </c>
      <c r="M67" s="67">
        <v>7815.8221999999996</v>
      </c>
      <c r="N67" s="67">
        <v>1</v>
      </c>
      <c r="O67" s="67">
        <v>140.6</v>
      </c>
    </row>
    <row r="68" spans="2:15" ht="18" customHeight="1">
      <c r="B68" s="124"/>
      <c r="C68" s="60" t="s">
        <v>968</v>
      </c>
      <c r="D68" s="67">
        <v>107</v>
      </c>
      <c r="E68" s="67">
        <v>32940.35</v>
      </c>
      <c r="F68" s="67">
        <v>65</v>
      </c>
      <c r="G68" s="67">
        <v>15812.147999999999</v>
      </c>
      <c r="H68" s="67">
        <v>34</v>
      </c>
      <c r="I68" s="67">
        <v>13552.232</v>
      </c>
      <c r="J68" s="67">
        <v>0</v>
      </c>
      <c r="K68" s="67">
        <v>0</v>
      </c>
      <c r="L68" s="67">
        <v>5</v>
      </c>
      <c r="M68" s="67">
        <v>2563.9</v>
      </c>
      <c r="N68" s="67">
        <v>3</v>
      </c>
      <c r="O68" s="67">
        <v>1012.07</v>
      </c>
    </row>
    <row r="69" spans="2:15" ht="18" customHeight="1">
      <c r="B69" s="124"/>
      <c r="C69" s="60" t="s">
        <v>969</v>
      </c>
      <c r="D69" s="67">
        <v>138</v>
      </c>
      <c r="E69" s="67">
        <v>47557.962499999994</v>
      </c>
      <c r="F69" s="67">
        <v>80</v>
      </c>
      <c r="G69" s="67">
        <v>16799.074000000001</v>
      </c>
      <c r="H69" s="67">
        <v>50</v>
      </c>
      <c r="I69" s="67">
        <v>27407.7225</v>
      </c>
      <c r="J69" s="67">
        <v>0</v>
      </c>
      <c r="K69" s="67">
        <v>0</v>
      </c>
      <c r="L69" s="67">
        <v>3</v>
      </c>
      <c r="M69" s="67">
        <v>1912.412</v>
      </c>
      <c r="N69" s="67">
        <v>5</v>
      </c>
      <c r="O69" s="67">
        <v>1438.7539999999999</v>
      </c>
    </row>
    <row r="70" spans="2:15" ht="18" customHeight="1">
      <c r="B70" s="124"/>
      <c r="C70" s="60" t="s">
        <v>970</v>
      </c>
      <c r="D70" s="67">
        <v>723</v>
      </c>
      <c r="E70" s="67">
        <v>101303.09499999999</v>
      </c>
      <c r="F70" s="67">
        <v>639</v>
      </c>
      <c r="G70" s="67">
        <v>70557.695999999996</v>
      </c>
      <c r="H70" s="67">
        <v>73</v>
      </c>
      <c r="I70" s="67">
        <v>22231.449000000001</v>
      </c>
      <c r="J70" s="67">
        <v>5</v>
      </c>
      <c r="K70" s="67">
        <v>1319.28</v>
      </c>
      <c r="L70" s="67">
        <v>4</v>
      </c>
      <c r="M70" s="67">
        <v>4838.7</v>
      </c>
      <c r="N70" s="67">
        <v>2</v>
      </c>
      <c r="O70" s="67">
        <v>2355.9699999999998</v>
      </c>
    </row>
    <row r="71" spans="2:15" ht="18" customHeight="1">
      <c r="B71" s="125"/>
      <c r="C71" s="60" t="s">
        <v>1037</v>
      </c>
      <c r="D71" s="67">
        <v>104</v>
      </c>
      <c r="E71" s="67">
        <v>13823.023000000001</v>
      </c>
      <c r="F71" s="67">
        <v>91</v>
      </c>
      <c r="G71" s="67">
        <v>8364.2530000000006</v>
      </c>
      <c r="H71" s="67">
        <v>9</v>
      </c>
      <c r="I71" s="67">
        <v>3941.53</v>
      </c>
      <c r="J71" s="67">
        <v>1</v>
      </c>
      <c r="K71" s="67">
        <v>579.74</v>
      </c>
      <c r="L71" s="67">
        <v>0</v>
      </c>
      <c r="M71" s="67">
        <v>0</v>
      </c>
      <c r="N71" s="67">
        <v>3</v>
      </c>
      <c r="O71" s="67">
        <v>937.5</v>
      </c>
    </row>
    <row r="72" spans="2:15" ht="18" customHeight="1">
      <c r="B72" s="123" t="s">
        <v>977</v>
      </c>
      <c r="C72" s="59" t="s">
        <v>917</v>
      </c>
      <c r="D72" s="67">
        <v>2018</v>
      </c>
      <c r="E72" s="67">
        <v>263405.50639999995</v>
      </c>
      <c r="F72" s="67">
        <v>1538</v>
      </c>
      <c r="G72" s="67">
        <v>136124.29019999999</v>
      </c>
      <c r="H72" s="67">
        <v>283</v>
      </c>
      <c r="I72" s="67">
        <v>69073.720199999996</v>
      </c>
      <c r="J72" s="67">
        <v>67</v>
      </c>
      <c r="K72" s="67">
        <v>35939.435999999994</v>
      </c>
      <c r="L72" s="67">
        <v>12</v>
      </c>
      <c r="M72" s="67">
        <v>2121.15</v>
      </c>
      <c r="N72" s="67">
        <v>118</v>
      </c>
      <c r="O72" s="67">
        <v>20146.91</v>
      </c>
    </row>
    <row r="73" spans="2:15" ht="18" customHeight="1">
      <c r="B73" s="124"/>
      <c r="C73" s="60" t="s">
        <v>964</v>
      </c>
      <c r="D73" s="67">
        <v>36</v>
      </c>
      <c r="E73" s="67">
        <v>11453.028399999999</v>
      </c>
      <c r="F73" s="67">
        <v>14</v>
      </c>
      <c r="G73" s="67">
        <v>2769.9081999999999</v>
      </c>
      <c r="H73" s="67">
        <v>19</v>
      </c>
      <c r="I73" s="67">
        <v>5155.0901999999996</v>
      </c>
      <c r="J73" s="67">
        <v>3</v>
      </c>
      <c r="K73" s="67">
        <v>3528.03</v>
      </c>
      <c r="L73" s="67">
        <v>0</v>
      </c>
      <c r="M73" s="67">
        <v>0</v>
      </c>
      <c r="N73" s="67">
        <v>0</v>
      </c>
      <c r="O73" s="67">
        <v>0</v>
      </c>
    </row>
    <row r="74" spans="2:15" ht="18" customHeight="1">
      <c r="B74" s="124"/>
      <c r="C74" s="60" t="s">
        <v>965</v>
      </c>
      <c r="D74" s="67">
        <v>56</v>
      </c>
      <c r="E74" s="67">
        <v>18797.262000000002</v>
      </c>
      <c r="F74" s="67">
        <v>28</v>
      </c>
      <c r="G74" s="67">
        <v>7157.08</v>
      </c>
      <c r="H74" s="67">
        <v>12</v>
      </c>
      <c r="I74" s="67">
        <v>5335.3220000000001</v>
      </c>
      <c r="J74" s="67">
        <v>14</v>
      </c>
      <c r="K74" s="67">
        <v>6073.75</v>
      </c>
      <c r="L74" s="67">
        <v>0</v>
      </c>
      <c r="M74" s="67">
        <v>0</v>
      </c>
      <c r="N74" s="67">
        <v>2</v>
      </c>
      <c r="O74" s="67">
        <v>231.11</v>
      </c>
    </row>
    <row r="75" spans="2:15" ht="18" customHeight="1">
      <c r="B75" s="124"/>
      <c r="C75" s="60" t="s">
        <v>966</v>
      </c>
      <c r="D75" s="67">
        <v>68</v>
      </c>
      <c r="E75" s="67">
        <v>16280.311</v>
      </c>
      <c r="F75" s="67">
        <v>14</v>
      </c>
      <c r="G75" s="67">
        <v>1949.105</v>
      </c>
      <c r="H75" s="67">
        <v>42</v>
      </c>
      <c r="I75" s="67">
        <v>12133.866</v>
      </c>
      <c r="J75" s="67">
        <v>1</v>
      </c>
      <c r="K75" s="67">
        <v>8</v>
      </c>
      <c r="L75" s="67">
        <v>1</v>
      </c>
      <c r="M75" s="67">
        <v>749.67</v>
      </c>
      <c r="N75" s="67">
        <v>10</v>
      </c>
      <c r="O75" s="67">
        <v>1439.67</v>
      </c>
    </row>
    <row r="76" spans="2:15" ht="18" customHeight="1">
      <c r="B76" s="124"/>
      <c r="C76" s="60" t="s">
        <v>967</v>
      </c>
      <c r="D76" s="67">
        <v>92</v>
      </c>
      <c r="E76" s="67">
        <v>24831.135999999999</v>
      </c>
      <c r="F76" s="67">
        <v>34</v>
      </c>
      <c r="G76" s="67">
        <v>5633.6059999999998</v>
      </c>
      <c r="H76" s="67">
        <v>39</v>
      </c>
      <c r="I76" s="67">
        <v>11766.21</v>
      </c>
      <c r="J76" s="67">
        <v>1</v>
      </c>
      <c r="K76" s="67">
        <v>582.79</v>
      </c>
      <c r="L76" s="67">
        <v>0</v>
      </c>
      <c r="M76" s="67">
        <v>0</v>
      </c>
      <c r="N76" s="67">
        <v>18</v>
      </c>
      <c r="O76" s="67">
        <v>6848.53</v>
      </c>
    </row>
    <row r="77" spans="2:15" ht="18" customHeight="1">
      <c r="B77" s="124"/>
      <c r="C77" s="60" t="s">
        <v>968</v>
      </c>
      <c r="D77" s="67">
        <v>143</v>
      </c>
      <c r="E77" s="67">
        <v>24429.341</v>
      </c>
      <c r="F77" s="67">
        <v>57</v>
      </c>
      <c r="G77" s="67">
        <v>8396.2350000000006</v>
      </c>
      <c r="H77" s="67">
        <v>40</v>
      </c>
      <c r="I77" s="67">
        <v>9142.0300000000007</v>
      </c>
      <c r="J77" s="67">
        <v>28</v>
      </c>
      <c r="K77" s="67">
        <v>4136.0060000000003</v>
      </c>
      <c r="L77" s="67">
        <v>0</v>
      </c>
      <c r="M77" s="67">
        <v>0</v>
      </c>
      <c r="N77" s="67">
        <v>18</v>
      </c>
      <c r="O77" s="67">
        <v>2755.07</v>
      </c>
    </row>
    <row r="78" spans="2:15" ht="18" customHeight="1">
      <c r="B78" s="124"/>
      <c r="C78" s="60" t="s">
        <v>969</v>
      </c>
      <c r="D78" s="67">
        <v>162</v>
      </c>
      <c r="E78" s="67">
        <v>47218.956999999995</v>
      </c>
      <c r="F78" s="67">
        <v>92</v>
      </c>
      <c r="G78" s="67">
        <v>17793.939999999999</v>
      </c>
      <c r="H78" s="67">
        <v>48</v>
      </c>
      <c r="I78" s="67">
        <v>11150.337</v>
      </c>
      <c r="J78" s="67">
        <v>11</v>
      </c>
      <c r="K78" s="67">
        <v>16213.07</v>
      </c>
      <c r="L78" s="67">
        <v>0</v>
      </c>
      <c r="M78" s="67">
        <v>0</v>
      </c>
      <c r="N78" s="67">
        <v>11</v>
      </c>
      <c r="O78" s="67">
        <v>2061.61</v>
      </c>
    </row>
    <row r="79" spans="2:15" ht="18" customHeight="1">
      <c r="B79" s="124"/>
      <c r="C79" s="60" t="s">
        <v>970</v>
      </c>
      <c r="D79" s="67">
        <v>710</v>
      </c>
      <c r="E79" s="67">
        <v>85818.420999999988</v>
      </c>
      <c r="F79" s="67">
        <v>620</v>
      </c>
      <c r="G79" s="67">
        <v>65564.245999999999</v>
      </c>
      <c r="H79" s="67">
        <v>61</v>
      </c>
      <c r="I79" s="67">
        <v>12691.075000000001</v>
      </c>
      <c r="J79" s="67">
        <v>4</v>
      </c>
      <c r="K79" s="67">
        <v>3718.95</v>
      </c>
      <c r="L79" s="67">
        <v>3</v>
      </c>
      <c r="M79" s="67">
        <v>1007.68</v>
      </c>
      <c r="N79" s="67">
        <v>22</v>
      </c>
      <c r="O79" s="67">
        <v>2836.47</v>
      </c>
    </row>
    <row r="80" spans="2:15" ht="18" customHeight="1">
      <c r="B80" s="125"/>
      <c r="C80" s="60" t="s">
        <v>1037</v>
      </c>
      <c r="D80" s="67">
        <v>751</v>
      </c>
      <c r="E80" s="67">
        <v>34577.049999999996</v>
      </c>
      <c r="F80" s="67">
        <v>679</v>
      </c>
      <c r="G80" s="67">
        <v>26860.17</v>
      </c>
      <c r="H80" s="67">
        <v>22</v>
      </c>
      <c r="I80" s="67">
        <v>1699.79</v>
      </c>
      <c r="J80" s="67">
        <v>5</v>
      </c>
      <c r="K80" s="67">
        <v>1678.84</v>
      </c>
      <c r="L80" s="67">
        <v>8</v>
      </c>
      <c r="M80" s="67">
        <v>363.8</v>
      </c>
      <c r="N80" s="67">
        <v>37</v>
      </c>
      <c r="O80" s="67">
        <v>3974.45</v>
      </c>
    </row>
    <row r="81" spans="2:15" ht="18" customHeight="1">
      <c r="B81" s="123" t="s">
        <v>928</v>
      </c>
      <c r="C81" s="59" t="s">
        <v>917</v>
      </c>
      <c r="D81" s="67">
        <v>781</v>
      </c>
      <c r="E81" s="67">
        <v>146250.89600000001</v>
      </c>
      <c r="F81" s="67">
        <v>495</v>
      </c>
      <c r="G81" s="67">
        <v>39591.076000000001</v>
      </c>
      <c r="H81" s="67">
        <v>85</v>
      </c>
      <c r="I81" s="67">
        <v>13437.205</v>
      </c>
      <c r="J81" s="67">
        <v>88</v>
      </c>
      <c r="K81" s="67">
        <v>68214.81</v>
      </c>
      <c r="L81" s="67">
        <v>0</v>
      </c>
      <c r="M81" s="67">
        <v>0</v>
      </c>
      <c r="N81" s="67">
        <v>113</v>
      </c>
      <c r="O81" s="67">
        <v>25007.805</v>
      </c>
    </row>
    <row r="82" spans="2:15" ht="18" customHeight="1">
      <c r="B82" s="124"/>
      <c r="C82" s="60" t="s">
        <v>964</v>
      </c>
      <c r="D82" s="67">
        <v>12</v>
      </c>
      <c r="E82" s="67">
        <v>1544.05</v>
      </c>
      <c r="F82" s="67">
        <v>4</v>
      </c>
      <c r="G82" s="67">
        <v>281.86</v>
      </c>
      <c r="H82" s="67">
        <v>6</v>
      </c>
      <c r="I82" s="67">
        <v>604.4</v>
      </c>
      <c r="J82" s="67">
        <v>0</v>
      </c>
      <c r="K82" s="67">
        <v>0</v>
      </c>
      <c r="L82" s="67">
        <v>0</v>
      </c>
      <c r="M82" s="67">
        <v>0</v>
      </c>
      <c r="N82" s="67">
        <v>2</v>
      </c>
      <c r="O82" s="67">
        <v>657.79</v>
      </c>
    </row>
    <row r="83" spans="2:15" ht="18" customHeight="1">
      <c r="B83" s="124"/>
      <c r="C83" s="60" t="s">
        <v>965</v>
      </c>
      <c r="D83" s="67">
        <v>12</v>
      </c>
      <c r="E83" s="67">
        <v>2630.12</v>
      </c>
      <c r="F83" s="67">
        <v>4</v>
      </c>
      <c r="G83" s="67">
        <v>569.64</v>
      </c>
      <c r="H83" s="67">
        <v>3</v>
      </c>
      <c r="I83" s="67">
        <v>518.24</v>
      </c>
      <c r="J83" s="67">
        <v>0</v>
      </c>
      <c r="K83" s="67">
        <v>0</v>
      </c>
      <c r="L83" s="67">
        <v>0</v>
      </c>
      <c r="M83" s="67">
        <v>0</v>
      </c>
      <c r="N83" s="67">
        <v>5</v>
      </c>
      <c r="O83" s="67">
        <v>1542.24</v>
      </c>
    </row>
    <row r="84" spans="2:15" ht="18" customHeight="1">
      <c r="B84" s="124"/>
      <c r="C84" s="60" t="s">
        <v>966</v>
      </c>
      <c r="D84" s="67">
        <v>105</v>
      </c>
      <c r="E84" s="67">
        <v>24828.199999999997</v>
      </c>
      <c r="F84" s="67">
        <v>53</v>
      </c>
      <c r="G84" s="67">
        <v>4398.3500000000004</v>
      </c>
      <c r="H84" s="67">
        <v>5</v>
      </c>
      <c r="I84" s="67">
        <v>878.04</v>
      </c>
      <c r="J84" s="67">
        <v>21</v>
      </c>
      <c r="K84" s="67">
        <v>14532.41</v>
      </c>
      <c r="L84" s="67">
        <v>0</v>
      </c>
      <c r="M84" s="67">
        <v>0</v>
      </c>
      <c r="N84" s="67">
        <v>26</v>
      </c>
      <c r="O84" s="67">
        <v>5019.3999999999996</v>
      </c>
    </row>
    <row r="85" spans="2:15" ht="18" customHeight="1">
      <c r="B85" s="124"/>
      <c r="C85" s="60" t="s">
        <v>967</v>
      </c>
      <c r="D85" s="67">
        <v>114</v>
      </c>
      <c r="E85" s="67">
        <v>47467.225000000006</v>
      </c>
      <c r="F85" s="67">
        <v>41</v>
      </c>
      <c r="G85" s="67">
        <v>4365.17</v>
      </c>
      <c r="H85" s="67">
        <v>17</v>
      </c>
      <c r="I85" s="67">
        <v>3238.38</v>
      </c>
      <c r="J85" s="67">
        <v>35</v>
      </c>
      <c r="K85" s="67">
        <v>33846.89</v>
      </c>
      <c r="L85" s="67">
        <v>0</v>
      </c>
      <c r="M85" s="67">
        <v>0</v>
      </c>
      <c r="N85" s="67">
        <v>21</v>
      </c>
      <c r="O85" s="67">
        <v>6016.7849999999999</v>
      </c>
    </row>
    <row r="86" spans="2:15" ht="18" customHeight="1">
      <c r="B86" s="124"/>
      <c r="C86" s="60" t="s">
        <v>968</v>
      </c>
      <c r="D86" s="67">
        <v>109</v>
      </c>
      <c r="E86" s="67">
        <v>18749.879999999997</v>
      </c>
      <c r="F86" s="67">
        <v>53</v>
      </c>
      <c r="G86" s="67">
        <v>5481.18</v>
      </c>
      <c r="H86" s="67">
        <v>16</v>
      </c>
      <c r="I86" s="67">
        <v>2498.34</v>
      </c>
      <c r="J86" s="67">
        <v>14</v>
      </c>
      <c r="K86" s="67">
        <v>5219.21</v>
      </c>
      <c r="L86" s="67">
        <v>0</v>
      </c>
      <c r="M86" s="67">
        <v>0</v>
      </c>
      <c r="N86" s="67">
        <v>26</v>
      </c>
      <c r="O86" s="67">
        <v>5551.15</v>
      </c>
    </row>
    <row r="87" spans="2:15" ht="18" customHeight="1">
      <c r="B87" s="124"/>
      <c r="C87" s="60" t="s">
        <v>969</v>
      </c>
      <c r="D87" s="67">
        <v>44</v>
      </c>
      <c r="E87" s="67">
        <v>13511.01</v>
      </c>
      <c r="F87" s="67">
        <v>17</v>
      </c>
      <c r="G87" s="67">
        <v>1683.3</v>
      </c>
      <c r="H87" s="67">
        <v>11</v>
      </c>
      <c r="I87" s="67">
        <v>2549.85</v>
      </c>
      <c r="J87" s="67">
        <v>10</v>
      </c>
      <c r="K87" s="67">
        <v>8035.71</v>
      </c>
      <c r="L87" s="67">
        <v>0</v>
      </c>
      <c r="M87" s="67">
        <v>0</v>
      </c>
      <c r="N87" s="67">
        <v>6</v>
      </c>
      <c r="O87" s="67">
        <v>1242.1500000000001</v>
      </c>
    </row>
    <row r="88" spans="2:15" ht="18" customHeight="1">
      <c r="B88" s="124"/>
      <c r="C88" s="60" t="s">
        <v>970</v>
      </c>
      <c r="D88" s="67">
        <v>31</v>
      </c>
      <c r="E88" s="67">
        <v>9185.8909999999996</v>
      </c>
      <c r="F88" s="67">
        <v>22</v>
      </c>
      <c r="G88" s="67">
        <v>1735.326</v>
      </c>
      <c r="H88" s="67">
        <v>5</v>
      </c>
      <c r="I88" s="67">
        <v>813.73500000000001</v>
      </c>
      <c r="J88" s="67">
        <v>2</v>
      </c>
      <c r="K88" s="67">
        <v>6090.83</v>
      </c>
      <c r="L88" s="67">
        <v>0</v>
      </c>
      <c r="M88" s="67">
        <v>0</v>
      </c>
      <c r="N88" s="67">
        <v>2</v>
      </c>
      <c r="O88" s="67">
        <v>546</v>
      </c>
    </row>
    <row r="89" spans="2:15" ht="18" customHeight="1">
      <c r="B89" s="125"/>
      <c r="C89" s="60" t="s">
        <v>1037</v>
      </c>
      <c r="D89" s="67">
        <v>354</v>
      </c>
      <c r="E89" s="67">
        <v>28334.52</v>
      </c>
      <c r="F89" s="67">
        <v>301</v>
      </c>
      <c r="G89" s="67">
        <v>21076.25</v>
      </c>
      <c r="H89" s="67">
        <v>22</v>
      </c>
      <c r="I89" s="67">
        <v>2336.2199999999998</v>
      </c>
      <c r="J89" s="67">
        <v>6</v>
      </c>
      <c r="K89" s="67">
        <v>489.76</v>
      </c>
      <c r="L89" s="67">
        <v>0</v>
      </c>
      <c r="M89" s="67">
        <v>0</v>
      </c>
      <c r="N89" s="67">
        <v>25</v>
      </c>
      <c r="O89" s="67">
        <v>4432.29</v>
      </c>
    </row>
    <row r="90" spans="2:15" ht="17.25" customHeight="1">
      <c r="B90" s="123" t="s">
        <v>978</v>
      </c>
      <c r="C90" s="59" t="s">
        <v>917</v>
      </c>
      <c r="D90" s="67">
        <v>9524</v>
      </c>
      <c r="E90" s="67">
        <v>2538787.6074000001</v>
      </c>
      <c r="F90" s="67">
        <v>5304</v>
      </c>
      <c r="G90" s="67">
        <v>888214.08159999992</v>
      </c>
      <c r="H90" s="67">
        <v>2362</v>
      </c>
      <c r="I90" s="67">
        <v>780686.62099999993</v>
      </c>
      <c r="J90" s="67">
        <v>456</v>
      </c>
      <c r="K90" s="67">
        <v>340906.70499999996</v>
      </c>
      <c r="L90" s="67">
        <v>147</v>
      </c>
      <c r="M90" s="67">
        <v>119038.86700000001</v>
      </c>
      <c r="N90" s="67">
        <v>1255</v>
      </c>
      <c r="O90" s="67">
        <v>409941.33279999997</v>
      </c>
    </row>
    <row r="91" spans="2:15" ht="18" customHeight="1">
      <c r="B91" s="124"/>
      <c r="C91" s="60" t="s">
        <v>964</v>
      </c>
      <c r="D91" s="67">
        <v>609</v>
      </c>
      <c r="E91" s="67">
        <v>130414.93</v>
      </c>
      <c r="F91" s="67">
        <v>100</v>
      </c>
      <c r="G91" s="67">
        <v>11516.39</v>
      </c>
      <c r="H91" s="67">
        <v>259</v>
      </c>
      <c r="I91" s="67">
        <v>55797.51</v>
      </c>
      <c r="J91" s="67">
        <v>33</v>
      </c>
      <c r="K91" s="67">
        <v>16185.66</v>
      </c>
      <c r="L91" s="67">
        <v>8</v>
      </c>
      <c r="M91" s="67">
        <v>12467.85</v>
      </c>
      <c r="N91" s="67">
        <v>209</v>
      </c>
      <c r="O91" s="67">
        <v>34447.519999999997</v>
      </c>
    </row>
    <row r="92" spans="2:15" ht="18" customHeight="1">
      <c r="B92" s="124"/>
      <c r="C92" s="60" t="s">
        <v>965</v>
      </c>
      <c r="D92" s="67">
        <v>443</v>
      </c>
      <c r="E92" s="67">
        <v>109054.792</v>
      </c>
      <c r="F92" s="67">
        <v>107</v>
      </c>
      <c r="G92" s="67">
        <v>19237.38</v>
      </c>
      <c r="H92" s="67">
        <v>204</v>
      </c>
      <c r="I92" s="67">
        <v>48400.771999999997</v>
      </c>
      <c r="J92" s="67">
        <v>30</v>
      </c>
      <c r="K92" s="67">
        <v>13789.86</v>
      </c>
      <c r="L92" s="67">
        <v>11</v>
      </c>
      <c r="M92" s="67">
        <v>2887.81</v>
      </c>
      <c r="N92" s="67">
        <v>91</v>
      </c>
      <c r="O92" s="67">
        <v>24738.97</v>
      </c>
    </row>
    <row r="93" spans="2:15" ht="18" customHeight="1">
      <c r="B93" s="124"/>
      <c r="C93" s="60" t="s">
        <v>966</v>
      </c>
      <c r="D93" s="67">
        <v>688</v>
      </c>
      <c r="E93" s="67">
        <v>245474.00900000002</v>
      </c>
      <c r="F93" s="67">
        <v>204</v>
      </c>
      <c r="G93" s="67">
        <v>43146.77</v>
      </c>
      <c r="H93" s="67">
        <v>254</v>
      </c>
      <c r="I93" s="67">
        <v>83244.115000000005</v>
      </c>
      <c r="J93" s="67">
        <v>49</v>
      </c>
      <c r="K93" s="67">
        <v>52952.553999999996</v>
      </c>
      <c r="L93" s="67">
        <v>18</v>
      </c>
      <c r="M93" s="67">
        <v>18327.84</v>
      </c>
      <c r="N93" s="67">
        <v>163</v>
      </c>
      <c r="O93" s="67">
        <v>47802.73</v>
      </c>
    </row>
    <row r="94" spans="2:15" ht="18" customHeight="1">
      <c r="B94" s="124"/>
      <c r="C94" s="60" t="s">
        <v>967</v>
      </c>
      <c r="D94" s="67">
        <v>927</v>
      </c>
      <c r="E94" s="67">
        <v>341988.31900000002</v>
      </c>
      <c r="F94" s="67">
        <v>246</v>
      </c>
      <c r="G94" s="67">
        <v>51025.42</v>
      </c>
      <c r="H94" s="67">
        <v>304</v>
      </c>
      <c r="I94" s="67">
        <v>117963.417</v>
      </c>
      <c r="J94" s="67">
        <v>109</v>
      </c>
      <c r="K94" s="67">
        <v>59447.89</v>
      </c>
      <c r="L94" s="67">
        <v>24</v>
      </c>
      <c r="M94" s="67">
        <v>19660.496999999999</v>
      </c>
      <c r="N94" s="67">
        <v>244</v>
      </c>
      <c r="O94" s="67">
        <v>93891.095000000001</v>
      </c>
    </row>
    <row r="95" spans="2:15" ht="18" customHeight="1">
      <c r="B95" s="124"/>
      <c r="C95" s="60" t="s">
        <v>968</v>
      </c>
      <c r="D95" s="67">
        <v>1326</v>
      </c>
      <c r="E95" s="67">
        <v>437506.14249999996</v>
      </c>
      <c r="F95" s="67">
        <v>549</v>
      </c>
      <c r="G95" s="67">
        <v>125644.905</v>
      </c>
      <c r="H95" s="67">
        <v>446</v>
      </c>
      <c r="I95" s="67">
        <v>160690.57149999999</v>
      </c>
      <c r="J95" s="67">
        <v>74</v>
      </c>
      <c r="K95" s="67">
        <v>42195.050999999999</v>
      </c>
      <c r="L95" s="67">
        <v>32</v>
      </c>
      <c r="M95" s="67">
        <v>26422.94</v>
      </c>
      <c r="N95" s="67">
        <v>225</v>
      </c>
      <c r="O95" s="67">
        <v>82552.675000000003</v>
      </c>
    </row>
    <row r="96" spans="2:15" ht="18" customHeight="1">
      <c r="B96" s="124"/>
      <c r="C96" s="60" t="s">
        <v>969</v>
      </c>
      <c r="D96" s="67">
        <v>1485</v>
      </c>
      <c r="E96" s="67">
        <v>417354.58500000002</v>
      </c>
      <c r="F96" s="67">
        <v>1051</v>
      </c>
      <c r="G96" s="67">
        <v>191703.92300000001</v>
      </c>
      <c r="H96" s="67">
        <v>236</v>
      </c>
      <c r="I96" s="67">
        <v>119984.42200000001</v>
      </c>
      <c r="J96" s="67">
        <v>48</v>
      </c>
      <c r="K96" s="67">
        <v>42966.14</v>
      </c>
      <c r="L96" s="67">
        <v>21</v>
      </c>
      <c r="M96" s="67">
        <v>17071.66</v>
      </c>
      <c r="N96" s="67">
        <v>129</v>
      </c>
      <c r="O96" s="67">
        <v>45628.44</v>
      </c>
    </row>
    <row r="97" spans="2:15" ht="18" customHeight="1">
      <c r="B97" s="124"/>
      <c r="C97" s="60" t="s">
        <v>970</v>
      </c>
      <c r="D97" s="67">
        <v>2701</v>
      </c>
      <c r="E97" s="67">
        <v>698642.00290000008</v>
      </c>
      <c r="F97" s="67">
        <v>2007</v>
      </c>
      <c r="G97" s="67">
        <v>372891.51260000002</v>
      </c>
      <c r="H97" s="67">
        <v>490</v>
      </c>
      <c r="I97" s="67">
        <v>166468.6765</v>
      </c>
      <c r="J97" s="67">
        <v>86</v>
      </c>
      <c r="K97" s="67">
        <v>93283.18</v>
      </c>
      <c r="L97" s="67">
        <v>22</v>
      </c>
      <c r="M97" s="67">
        <v>15617.54</v>
      </c>
      <c r="N97" s="67">
        <v>96</v>
      </c>
      <c r="O97" s="67">
        <v>50381.093800000002</v>
      </c>
    </row>
    <row r="98" spans="2:15" ht="18" customHeight="1">
      <c r="B98" s="125"/>
      <c r="C98" s="60" t="s">
        <v>1037</v>
      </c>
      <c r="D98" s="67">
        <v>1345</v>
      </c>
      <c r="E98" s="67">
        <v>158352.82699999999</v>
      </c>
      <c r="F98" s="67">
        <v>1040</v>
      </c>
      <c r="G98" s="67">
        <v>73047.781000000003</v>
      </c>
      <c r="H98" s="67">
        <v>169</v>
      </c>
      <c r="I98" s="67">
        <v>28137.136999999999</v>
      </c>
      <c r="J98" s="67">
        <v>27</v>
      </c>
      <c r="K98" s="67">
        <v>20086.37</v>
      </c>
      <c r="L98" s="67">
        <v>11</v>
      </c>
      <c r="M98" s="67">
        <v>6582.73</v>
      </c>
      <c r="N98" s="67">
        <v>98</v>
      </c>
      <c r="O98" s="67">
        <v>30498.809000000001</v>
      </c>
    </row>
    <row r="99" spans="2:15" ht="18" customHeight="1">
      <c r="B99" s="123" t="s">
        <v>1458</v>
      </c>
      <c r="C99" s="59" t="s">
        <v>917</v>
      </c>
      <c r="D99" s="67">
        <v>2258</v>
      </c>
      <c r="E99" s="67">
        <v>280014.96750000003</v>
      </c>
      <c r="F99" s="67">
        <v>1572</v>
      </c>
      <c r="G99" s="67">
        <v>129965.12419999999</v>
      </c>
      <c r="H99" s="67">
        <v>404</v>
      </c>
      <c r="I99" s="67">
        <v>78264.481</v>
      </c>
      <c r="J99" s="67">
        <v>19</v>
      </c>
      <c r="K99" s="67">
        <v>8056.45</v>
      </c>
      <c r="L99" s="67">
        <v>30</v>
      </c>
      <c r="M99" s="67">
        <v>9303.51</v>
      </c>
      <c r="N99" s="67">
        <v>233</v>
      </c>
      <c r="O99" s="67">
        <v>54425.402300000002</v>
      </c>
    </row>
    <row r="100" spans="2:15" ht="18" customHeight="1">
      <c r="B100" s="124"/>
      <c r="C100" s="60" t="s">
        <v>964</v>
      </c>
      <c r="D100" s="67">
        <v>163</v>
      </c>
      <c r="E100" s="67">
        <v>15762.655999999999</v>
      </c>
      <c r="F100" s="67">
        <v>52</v>
      </c>
      <c r="G100" s="67">
        <v>5573.1589999999997</v>
      </c>
      <c r="H100" s="67">
        <v>75</v>
      </c>
      <c r="I100" s="67">
        <v>6350.4369999999999</v>
      </c>
      <c r="J100" s="67">
        <v>1</v>
      </c>
      <c r="K100" s="67">
        <v>40.5</v>
      </c>
      <c r="L100" s="67">
        <v>1</v>
      </c>
      <c r="M100" s="67">
        <v>13.52</v>
      </c>
      <c r="N100" s="67">
        <v>34</v>
      </c>
      <c r="O100" s="67">
        <v>3785.04</v>
      </c>
    </row>
    <row r="101" spans="2:15" ht="18" customHeight="1">
      <c r="B101" s="124"/>
      <c r="C101" s="60" t="s">
        <v>965</v>
      </c>
      <c r="D101" s="67">
        <v>76</v>
      </c>
      <c r="E101" s="67">
        <v>9498.74</v>
      </c>
      <c r="F101" s="67">
        <v>40</v>
      </c>
      <c r="G101" s="67">
        <v>5150.7299999999996</v>
      </c>
      <c r="H101" s="67">
        <v>25</v>
      </c>
      <c r="I101" s="67">
        <v>2935.04</v>
      </c>
      <c r="J101" s="67">
        <v>1</v>
      </c>
      <c r="K101" s="67">
        <v>115.86</v>
      </c>
      <c r="L101" s="67">
        <v>0</v>
      </c>
      <c r="M101" s="67">
        <v>0</v>
      </c>
      <c r="N101" s="67">
        <v>10</v>
      </c>
      <c r="O101" s="67">
        <v>1297.1099999999999</v>
      </c>
    </row>
    <row r="102" spans="2:15" ht="18" customHeight="1">
      <c r="B102" s="124"/>
      <c r="C102" s="60" t="s">
        <v>966</v>
      </c>
      <c r="D102" s="67">
        <v>130</v>
      </c>
      <c r="E102" s="67">
        <v>21219.829999999998</v>
      </c>
      <c r="F102" s="67">
        <v>68</v>
      </c>
      <c r="G102" s="67">
        <v>8604.8349999999991</v>
      </c>
      <c r="H102" s="67">
        <v>42</v>
      </c>
      <c r="I102" s="67">
        <v>6433.0150000000003</v>
      </c>
      <c r="J102" s="67">
        <v>1</v>
      </c>
      <c r="K102" s="67">
        <v>400</v>
      </c>
      <c r="L102" s="67">
        <v>2</v>
      </c>
      <c r="M102" s="67">
        <v>858.67</v>
      </c>
      <c r="N102" s="67">
        <v>17</v>
      </c>
      <c r="O102" s="67">
        <v>4923.3100000000004</v>
      </c>
    </row>
    <row r="103" spans="2:15" ht="18" customHeight="1">
      <c r="B103" s="124"/>
      <c r="C103" s="60" t="s">
        <v>967</v>
      </c>
      <c r="D103" s="67">
        <v>149</v>
      </c>
      <c r="E103" s="67">
        <v>34450.97</v>
      </c>
      <c r="F103" s="67">
        <v>77</v>
      </c>
      <c r="G103" s="67">
        <v>10652.19</v>
      </c>
      <c r="H103" s="67">
        <v>42</v>
      </c>
      <c r="I103" s="67">
        <v>15525.84</v>
      </c>
      <c r="J103" s="67">
        <v>3</v>
      </c>
      <c r="K103" s="67">
        <v>628.95000000000005</v>
      </c>
      <c r="L103" s="67">
        <v>0</v>
      </c>
      <c r="M103" s="67">
        <v>1058</v>
      </c>
      <c r="N103" s="67">
        <v>27</v>
      </c>
      <c r="O103" s="67">
        <v>6585.99</v>
      </c>
    </row>
    <row r="104" spans="2:15" ht="18" customHeight="1">
      <c r="B104" s="124"/>
      <c r="C104" s="60" t="s">
        <v>968</v>
      </c>
      <c r="D104" s="67">
        <v>201</v>
      </c>
      <c r="E104" s="67">
        <v>44339.898000000001</v>
      </c>
      <c r="F104" s="67">
        <v>69</v>
      </c>
      <c r="G104" s="67">
        <v>8929.4050000000007</v>
      </c>
      <c r="H104" s="67">
        <v>61</v>
      </c>
      <c r="I104" s="67">
        <v>11828.123</v>
      </c>
      <c r="J104" s="67">
        <v>2</v>
      </c>
      <c r="K104" s="67">
        <v>3654.29</v>
      </c>
      <c r="L104" s="67">
        <v>12</v>
      </c>
      <c r="M104" s="67">
        <v>2342.48</v>
      </c>
      <c r="N104" s="67">
        <v>57</v>
      </c>
      <c r="O104" s="67">
        <v>17585.599999999999</v>
      </c>
    </row>
    <row r="105" spans="2:15" ht="18" customHeight="1">
      <c r="B105" s="124"/>
      <c r="C105" s="60" t="s">
        <v>969</v>
      </c>
      <c r="D105" s="67">
        <v>150</v>
      </c>
      <c r="E105" s="67">
        <v>31960.429999999997</v>
      </c>
      <c r="F105" s="67">
        <v>71</v>
      </c>
      <c r="G105" s="67">
        <v>10390.874</v>
      </c>
      <c r="H105" s="67">
        <v>41</v>
      </c>
      <c r="I105" s="67">
        <v>11852.075999999999</v>
      </c>
      <c r="J105" s="67">
        <v>1</v>
      </c>
      <c r="K105" s="67">
        <v>975</v>
      </c>
      <c r="L105" s="67">
        <v>2</v>
      </c>
      <c r="M105" s="67">
        <v>118.14</v>
      </c>
      <c r="N105" s="67">
        <v>35</v>
      </c>
      <c r="O105" s="67">
        <v>8624.34</v>
      </c>
    </row>
    <row r="106" spans="2:15" ht="18" customHeight="1">
      <c r="B106" s="124"/>
      <c r="C106" s="60" t="s">
        <v>970</v>
      </c>
      <c r="D106" s="67">
        <v>616</v>
      </c>
      <c r="E106" s="67">
        <v>68241.065799999997</v>
      </c>
      <c r="F106" s="67">
        <v>532</v>
      </c>
      <c r="G106" s="67">
        <v>42998.6175</v>
      </c>
      <c r="H106" s="67">
        <v>56</v>
      </c>
      <c r="I106" s="67">
        <v>16513.716</v>
      </c>
      <c r="J106" s="67">
        <v>4</v>
      </c>
      <c r="K106" s="67">
        <v>1265.31</v>
      </c>
      <c r="L106" s="67">
        <v>4</v>
      </c>
      <c r="M106" s="67">
        <v>1966.91</v>
      </c>
      <c r="N106" s="67">
        <v>20</v>
      </c>
      <c r="O106" s="67">
        <v>5496.5123000000003</v>
      </c>
    </row>
    <row r="107" spans="2:15" ht="18" customHeight="1">
      <c r="B107" s="125"/>
      <c r="C107" s="60" t="s">
        <v>1037</v>
      </c>
      <c r="D107" s="67">
        <v>773</v>
      </c>
      <c r="E107" s="67">
        <v>54541.377699999997</v>
      </c>
      <c r="F107" s="67">
        <v>663</v>
      </c>
      <c r="G107" s="67">
        <v>37665.313699999999</v>
      </c>
      <c r="H107" s="67">
        <v>62</v>
      </c>
      <c r="I107" s="67">
        <v>6826.2340000000004</v>
      </c>
      <c r="J107" s="67">
        <v>6</v>
      </c>
      <c r="K107" s="67">
        <v>976.54</v>
      </c>
      <c r="L107" s="67">
        <v>9</v>
      </c>
      <c r="M107" s="67">
        <v>2945.79</v>
      </c>
      <c r="N107" s="67">
        <v>33</v>
      </c>
      <c r="O107" s="67">
        <v>6127.5</v>
      </c>
    </row>
    <row r="108" spans="2:15" ht="18" customHeight="1">
      <c r="B108" s="123" t="s">
        <v>979</v>
      </c>
      <c r="C108" s="59" t="s">
        <v>917</v>
      </c>
      <c r="D108" s="67">
        <v>1859</v>
      </c>
      <c r="E108" s="67">
        <v>279150.95699999999</v>
      </c>
      <c r="F108" s="67">
        <v>1211</v>
      </c>
      <c r="G108" s="67">
        <v>104191.283</v>
      </c>
      <c r="H108" s="67">
        <v>293</v>
      </c>
      <c r="I108" s="67">
        <v>63663.86</v>
      </c>
      <c r="J108" s="67">
        <v>37</v>
      </c>
      <c r="K108" s="67">
        <v>38661.460000000006</v>
      </c>
      <c r="L108" s="67">
        <v>28</v>
      </c>
      <c r="M108" s="67">
        <v>7219.55</v>
      </c>
      <c r="N108" s="67">
        <v>290</v>
      </c>
      <c r="O108" s="67">
        <v>65414.804000000011</v>
      </c>
    </row>
    <row r="109" spans="2:15" ht="18" customHeight="1">
      <c r="B109" s="124"/>
      <c r="C109" s="60" t="s">
        <v>964</v>
      </c>
      <c r="D109" s="67">
        <v>137</v>
      </c>
      <c r="E109" s="67">
        <v>19395.18</v>
      </c>
      <c r="F109" s="67">
        <v>56</v>
      </c>
      <c r="G109" s="67">
        <v>5347.93</v>
      </c>
      <c r="H109" s="67">
        <v>45</v>
      </c>
      <c r="I109" s="67">
        <v>8779.9500000000007</v>
      </c>
      <c r="J109" s="67">
        <v>3</v>
      </c>
      <c r="K109" s="67">
        <v>739.91</v>
      </c>
      <c r="L109" s="67">
        <v>1</v>
      </c>
      <c r="M109" s="67">
        <v>496.85</v>
      </c>
      <c r="N109" s="67">
        <v>32</v>
      </c>
      <c r="O109" s="67">
        <v>4030.54</v>
      </c>
    </row>
    <row r="110" spans="2:15" ht="18" customHeight="1">
      <c r="B110" s="124"/>
      <c r="C110" s="60" t="s">
        <v>965</v>
      </c>
      <c r="D110" s="67">
        <v>98</v>
      </c>
      <c r="E110" s="67">
        <v>25211.25</v>
      </c>
      <c r="F110" s="67">
        <v>19</v>
      </c>
      <c r="G110" s="67">
        <v>1498.31</v>
      </c>
      <c r="H110" s="67">
        <v>22</v>
      </c>
      <c r="I110" s="67">
        <v>4586.26</v>
      </c>
      <c r="J110" s="67">
        <v>3</v>
      </c>
      <c r="K110" s="67">
        <v>2239.81</v>
      </c>
      <c r="L110" s="67">
        <v>2</v>
      </c>
      <c r="M110" s="67">
        <v>110.69</v>
      </c>
      <c r="N110" s="67">
        <v>52</v>
      </c>
      <c r="O110" s="67">
        <v>16776.18</v>
      </c>
    </row>
    <row r="111" spans="2:15" ht="18" customHeight="1">
      <c r="B111" s="124"/>
      <c r="C111" s="60" t="s">
        <v>966</v>
      </c>
      <c r="D111" s="67">
        <v>102</v>
      </c>
      <c r="E111" s="67">
        <v>17470.649999999998</v>
      </c>
      <c r="F111" s="67">
        <v>36</v>
      </c>
      <c r="G111" s="67">
        <v>3478.87</v>
      </c>
      <c r="H111" s="67">
        <v>30</v>
      </c>
      <c r="I111" s="67">
        <v>4902.84</v>
      </c>
      <c r="J111" s="67">
        <v>9</v>
      </c>
      <c r="K111" s="67">
        <v>4206.6000000000004</v>
      </c>
      <c r="L111" s="67">
        <v>1</v>
      </c>
      <c r="M111" s="67">
        <v>89.21</v>
      </c>
      <c r="N111" s="67">
        <v>26</v>
      </c>
      <c r="O111" s="67">
        <v>4793.13</v>
      </c>
    </row>
    <row r="112" spans="2:15" ht="18" customHeight="1">
      <c r="B112" s="124"/>
      <c r="C112" s="60" t="s">
        <v>967</v>
      </c>
      <c r="D112" s="67">
        <v>143</v>
      </c>
      <c r="E112" s="67">
        <v>28873.84</v>
      </c>
      <c r="F112" s="67">
        <v>66</v>
      </c>
      <c r="G112" s="67">
        <v>10160.92</v>
      </c>
      <c r="H112" s="67">
        <v>36</v>
      </c>
      <c r="I112" s="67">
        <v>7625.16</v>
      </c>
      <c r="J112" s="67">
        <v>2</v>
      </c>
      <c r="K112" s="67">
        <v>660.8</v>
      </c>
      <c r="L112" s="67">
        <v>1</v>
      </c>
      <c r="M112" s="67">
        <v>641.85</v>
      </c>
      <c r="N112" s="67">
        <v>38</v>
      </c>
      <c r="O112" s="67">
        <v>9785.11</v>
      </c>
    </row>
    <row r="113" spans="2:15" ht="18" customHeight="1">
      <c r="B113" s="124"/>
      <c r="C113" s="60" t="s">
        <v>968</v>
      </c>
      <c r="D113" s="67">
        <v>127</v>
      </c>
      <c r="E113" s="67">
        <v>43496.610000000008</v>
      </c>
      <c r="F113" s="67">
        <v>36</v>
      </c>
      <c r="G113" s="67">
        <v>5068.79</v>
      </c>
      <c r="H113" s="67">
        <v>33</v>
      </c>
      <c r="I113" s="67">
        <v>8640.1749999999993</v>
      </c>
      <c r="J113" s="67">
        <v>12</v>
      </c>
      <c r="K113" s="67">
        <v>20567.96</v>
      </c>
      <c r="L113" s="67">
        <v>4</v>
      </c>
      <c r="M113" s="67">
        <v>1350.94</v>
      </c>
      <c r="N113" s="67">
        <v>42</v>
      </c>
      <c r="O113" s="67">
        <v>7868.7449999999999</v>
      </c>
    </row>
    <row r="114" spans="2:15" ht="18" customHeight="1">
      <c r="B114" s="124"/>
      <c r="C114" s="60" t="s">
        <v>969</v>
      </c>
      <c r="D114" s="67">
        <v>116</v>
      </c>
      <c r="E114" s="67">
        <v>28545.940000000002</v>
      </c>
      <c r="F114" s="67">
        <v>51</v>
      </c>
      <c r="G114" s="67">
        <v>7791.07</v>
      </c>
      <c r="H114" s="67">
        <v>37</v>
      </c>
      <c r="I114" s="67">
        <v>11848.61</v>
      </c>
      <c r="J114" s="67">
        <v>1</v>
      </c>
      <c r="K114" s="67">
        <v>173.58</v>
      </c>
      <c r="L114" s="67">
        <v>7</v>
      </c>
      <c r="M114" s="67">
        <v>638.30999999999995</v>
      </c>
      <c r="N114" s="67">
        <v>20</v>
      </c>
      <c r="O114" s="67">
        <v>8094.37</v>
      </c>
    </row>
    <row r="115" spans="2:15" ht="18" customHeight="1">
      <c r="B115" s="124"/>
      <c r="C115" s="60" t="s">
        <v>970</v>
      </c>
      <c r="D115" s="67">
        <v>421</v>
      </c>
      <c r="E115" s="67">
        <v>55284.777999999998</v>
      </c>
      <c r="F115" s="67">
        <v>362</v>
      </c>
      <c r="G115" s="67">
        <v>31801.239000000001</v>
      </c>
      <c r="H115" s="67">
        <v>38</v>
      </c>
      <c r="I115" s="67">
        <v>9738.2099999999991</v>
      </c>
      <c r="J115" s="67">
        <v>4</v>
      </c>
      <c r="K115" s="67">
        <v>9462.75</v>
      </c>
      <c r="L115" s="67">
        <v>7</v>
      </c>
      <c r="M115" s="67">
        <v>1991</v>
      </c>
      <c r="N115" s="67">
        <v>10</v>
      </c>
      <c r="O115" s="67">
        <v>2291.5790000000002</v>
      </c>
    </row>
    <row r="116" spans="2:15" ht="18" customHeight="1">
      <c r="B116" s="125"/>
      <c r="C116" s="60" t="s">
        <v>1037</v>
      </c>
      <c r="D116" s="67">
        <v>715</v>
      </c>
      <c r="E116" s="67">
        <v>60872.709000000003</v>
      </c>
      <c r="F116" s="67">
        <v>585</v>
      </c>
      <c r="G116" s="67">
        <v>39044.154000000002</v>
      </c>
      <c r="H116" s="67">
        <v>52</v>
      </c>
      <c r="I116" s="67">
        <v>7542.6549999999997</v>
      </c>
      <c r="J116" s="67">
        <v>3</v>
      </c>
      <c r="K116" s="67">
        <v>610.04999999999995</v>
      </c>
      <c r="L116" s="67">
        <v>5</v>
      </c>
      <c r="M116" s="67">
        <v>1900.7</v>
      </c>
      <c r="N116" s="67">
        <v>70</v>
      </c>
      <c r="O116" s="67">
        <v>11775.15</v>
      </c>
    </row>
    <row r="117" spans="2:15" ht="18" customHeight="1">
      <c r="B117" s="123" t="s">
        <v>980</v>
      </c>
      <c r="C117" s="59" t="s">
        <v>917</v>
      </c>
      <c r="D117" s="67">
        <v>2565</v>
      </c>
      <c r="E117" s="67">
        <v>380000.82999999996</v>
      </c>
      <c r="F117" s="67">
        <v>1670</v>
      </c>
      <c r="G117" s="67">
        <v>145956.85699999999</v>
      </c>
      <c r="H117" s="67">
        <v>404</v>
      </c>
      <c r="I117" s="67">
        <v>82711.345000000001</v>
      </c>
      <c r="J117" s="67">
        <v>45</v>
      </c>
      <c r="K117" s="67">
        <v>22271.119999999999</v>
      </c>
      <c r="L117" s="67">
        <v>34</v>
      </c>
      <c r="M117" s="67">
        <v>19876.472000000002</v>
      </c>
      <c r="N117" s="67">
        <v>412</v>
      </c>
      <c r="O117" s="67">
        <v>109185.03599999999</v>
      </c>
    </row>
    <row r="118" spans="2:15" ht="18" customHeight="1">
      <c r="B118" s="124"/>
      <c r="C118" s="60" t="s">
        <v>964</v>
      </c>
      <c r="D118" s="67">
        <v>153</v>
      </c>
      <c r="E118" s="67">
        <v>26756.79</v>
      </c>
      <c r="F118" s="67">
        <v>34</v>
      </c>
      <c r="G118" s="67">
        <v>4255.2</v>
      </c>
      <c r="H118" s="67">
        <v>67</v>
      </c>
      <c r="I118" s="67">
        <v>12862.55</v>
      </c>
      <c r="J118" s="67">
        <v>4</v>
      </c>
      <c r="K118" s="67">
        <v>1549.54</v>
      </c>
      <c r="L118" s="67">
        <v>0</v>
      </c>
      <c r="M118" s="67">
        <v>0</v>
      </c>
      <c r="N118" s="67">
        <v>48</v>
      </c>
      <c r="O118" s="67">
        <v>8089.5</v>
      </c>
    </row>
    <row r="119" spans="2:15" ht="18" customHeight="1">
      <c r="B119" s="124"/>
      <c r="C119" s="60" t="s">
        <v>965</v>
      </c>
      <c r="D119" s="67">
        <v>81</v>
      </c>
      <c r="E119" s="67">
        <v>15130.119999999999</v>
      </c>
      <c r="F119" s="67">
        <v>25</v>
      </c>
      <c r="G119" s="67">
        <v>2742.99</v>
      </c>
      <c r="H119" s="67">
        <v>27</v>
      </c>
      <c r="I119" s="67">
        <v>5033.6000000000004</v>
      </c>
      <c r="J119" s="67">
        <v>4</v>
      </c>
      <c r="K119" s="67">
        <v>1116.47</v>
      </c>
      <c r="L119" s="67">
        <v>5</v>
      </c>
      <c r="M119" s="67">
        <v>592</v>
      </c>
      <c r="N119" s="67">
        <v>20</v>
      </c>
      <c r="O119" s="67">
        <v>5645.06</v>
      </c>
    </row>
    <row r="120" spans="2:15" ht="18" customHeight="1">
      <c r="B120" s="124"/>
      <c r="C120" s="60" t="s">
        <v>966</v>
      </c>
      <c r="D120" s="67">
        <v>141</v>
      </c>
      <c r="E120" s="67">
        <v>28179.35</v>
      </c>
      <c r="F120" s="67">
        <v>49</v>
      </c>
      <c r="G120" s="67">
        <v>5431.26</v>
      </c>
      <c r="H120" s="67">
        <v>43</v>
      </c>
      <c r="I120" s="67">
        <v>7757.73</v>
      </c>
      <c r="J120" s="67">
        <v>9</v>
      </c>
      <c r="K120" s="67">
        <v>4920.58</v>
      </c>
      <c r="L120" s="67">
        <v>4</v>
      </c>
      <c r="M120" s="67">
        <v>715.34</v>
      </c>
      <c r="N120" s="67">
        <v>36</v>
      </c>
      <c r="O120" s="67">
        <v>9354.44</v>
      </c>
    </row>
    <row r="121" spans="2:15" ht="18" customHeight="1">
      <c r="B121" s="124"/>
      <c r="C121" s="60" t="s">
        <v>967</v>
      </c>
      <c r="D121" s="67">
        <v>168</v>
      </c>
      <c r="E121" s="67">
        <v>43127.875</v>
      </c>
      <c r="F121" s="67">
        <v>64</v>
      </c>
      <c r="G121" s="67">
        <v>9768.2849999999999</v>
      </c>
      <c r="H121" s="67">
        <v>53</v>
      </c>
      <c r="I121" s="67">
        <v>16596.465</v>
      </c>
      <c r="J121" s="67">
        <v>4</v>
      </c>
      <c r="K121" s="67">
        <v>2896.64</v>
      </c>
      <c r="L121" s="67">
        <v>6</v>
      </c>
      <c r="M121" s="67">
        <v>3941.02</v>
      </c>
      <c r="N121" s="67">
        <v>41</v>
      </c>
      <c r="O121" s="67">
        <v>9925.4650000000001</v>
      </c>
    </row>
    <row r="122" spans="2:15" ht="18" customHeight="1">
      <c r="B122" s="124"/>
      <c r="C122" s="60" t="s">
        <v>968</v>
      </c>
      <c r="D122" s="67">
        <v>235</v>
      </c>
      <c r="E122" s="67">
        <v>59689.773000000001</v>
      </c>
      <c r="F122" s="67">
        <v>71</v>
      </c>
      <c r="G122" s="67">
        <v>9513.3389999999999</v>
      </c>
      <c r="H122" s="67">
        <v>53</v>
      </c>
      <c r="I122" s="67">
        <v>10613.32</v>
      </c>
      <c r="J122" s="67">
        <v>3</v>
      </c>
      <c r="K122" s="67">
        <v>3421.64</v>
      </c>
      <c r="L122" s="67">
        <v>3</v>
      </c>
      <c r="M122" s="67">
        <v>1191.962</v>
      </c>
      <c r="N122" s="67">
        <v>105</v>
      </c>
      <c r="O122" s="67">
        <v>34949.512000000002</v>
      </c>
    </row>
    <row r="123" spans="2:15" ht="18" customHeight="1">
      <c r="B123" s="124"/>
      <c r="C123" s="60" t="s">
        <v>969</v>
      </c>
      <c r="D123" s="67">
        <v>129</v>
      </c>
      <c r="E123" s="67">
        <v>27767.135000000002</v>
      </c>
      <c r="F123" s="67">
        <v>64</v>
      </c>
      <c r="G123" s="67">
        <v>9164.9349999999995</v>
      </c>
      <c r="H123" s="67">
        <v>32</v>
      </c>
      <c r="I123" s="67">
        <v>7711.05</v>
      </c>
      <c r="J123" s="67">
        <v>4</v>
      </c>
      <c r="K123" s="67">
        <v>1732.82</v>
      </c>
      <c r="L123" s="67">
        <v>1</v>
      </c>
      <c r="M123" s="67">
        <v>715.47</v>
      </c>
      <c r="N123" s="67">
        <v>28</v>
      </c>
      <c r="O123" s="67">
        <v>8442.86</v>
      </c>
    </row>
    <row r="124" spans="2:15" ht="18" customHeight="1">
      <c r="B124" s="124"/>
      <c r="C124" s="60" t="s">
        <v>970</v>
      </c>
      <c r="D124" s="67">
        <v>667</v>
      </c>
      <c r="E124" s="67">
        <v>89916.774999999994</v>
      </c>
      <c r="F124" s="67">
        <v>536</v>
      </c>
      <c r="G124" s="67">
        <v>50268.623</v>
      </c>
      <c r="H124" s="67">
        <v>68</v>
      </c>
      <c r="I124" s="67">
        <v>14466.47</v>
      </c>
      <c r="J124" s="67">
        <v>10</v>
      </c>
      <c r="K124" s="67">
        <v>5143.37</v>
      </c>
      <c r="L124" s="67">
        <v>10</v>
      </c>
      <c r="M124" s="67">
        <v>8185.73</v>
      </c>
      <c r="N124" s="67">
        <v>43</v>
      </c>
      <c r="O124" s="67">
        <v>11852.582</v>
      </c>
    </row>
    <row r="125" spans="2:15" ht="18" customHeight="1">
      <c r="B125" s="125"/>
      <c r="C125" s="60" t="s">
        <v>1037</v>
      </c>
      <c r="D125" s="67">
        <v>991</v>
      </c>
      <c r="E125" s="67">
        <v>89433.011999999988</v>
      </c>
      <c r="F125" s="67">
        <v>827</v>
      </c>
      <c r="G125" s="67">
        <v>54812.224999999999</v>
      </c>
      <c r="H125" s="67">
        <v>61</v>
      </c>
      <c r="I125" s="67">
        <v>7670.16</v>
      </c>
      <c r="J125" s="67">
        <v>7</v>
      </c>
      <c r="K125" s="67">
        <v>1490.06</v>
      </c>
      <c r="L125" s="67">
        <v>5</v>
      </c>
      <c r="M125" s="67">
        <v>4534.95</v>
      </c>
      <c r="N125" s="67">
        <v>91</v>
      </c>
      <c r="O125" s="67">
        <v>20925.616999999998</v>
      </c>
    </row>
    <row r="126" spans="2:15" ht="18" customHeight="1">
      <c r="B126" s="123" t="s">
        <v>1549</v>
      </c>
      <c r="C126" s="59" t="s">
        <v>917</v>
      </c>
      <c r="D126" s="67">
        <v>2947</v>
      </c>
      <c r="E126" s="67">
        <v>381255.28049999999</v>
      </c>
      <c r="F126" s="67">
        <v>2093</v>
      </c>
      <c r="G126" s="67">
        <v>161046.255</v>
      </c>
      <c r="H126" s="67">
        <v>406</v>
      </c>
      <c r="I126" s="67">
        <v>74168.910499999998</v>
      </c>
      <c r="J126" s="67">
        <v>43</v>
      </c>
      <c r="K126" s="67">
        <v>17189.109999999997</v>
      </c>
      <c r="L126" s="67">
        <v>28</v>
      </c>
      <c r="M126" s="67">
        <v>20506.560000000001</v>
      </c>
      <c r="N126" s="67">
        <v>377</v>
      </c>
      <c r="O126" s="67">
        <v>108344.44499999999</v>
      </c>
    </row>
    <row r="127" spans="2:15" ht="18" customHeight="1">
      <c r="B127" s="124"/>
      <c r="C127" s="60" t="s">
        <v>964</v>
      </c>
      <c r="D127" s="67">
        <v>134</v>
      </c>
      <c r="E127" s="67">
        <v>34878.44</v>
      </c>
      <c r="F127" s="67">
        <v>20</v>
      </c>
      <c r="G127" s="67">
        <v>1790.92</v>
      </c>
      <c r="H127" s="67">
        <v>49</v>
      </c>
      <c r="I127" s="67">
        <v>4578.7299999999996</v>
      </c>
      <c r="J127" s="67">
        <v>1</v>
      </c>
      <c r="K127" s="67">
        <v>21.6</v>
      </c>
      <c r="L127" s="67">
        <v>2</v>
      </c>
      <c r="M127" s="67">
        <v>10860.12</v>
      </c>
      <c r="N127" s="67">
        <v>62</v>
      </c>
      <c r="O127" s="67">
        <v>17627.07</v>
      </c>
    </row>
    <row r="128" spans="2:15" ht="18" customHeight="1">
      <c r="B128" s="124"/>
      <c r="C128" s="60" t="s">
        <v>965</v>
      </c>
      <c r="D128" s="67">
        <v>78</v>
      </c>
      <c r="E128" s="67">
        <v>11174.915000000001</v>
      </c>
      <c r="F128" s="67">
        <v>10</v>
      </c>
      <c r="G128" s="67">
        <v>884.96</v>
      </c>
      <c r="H128" s="67">
        <v>34</v>
      </c>
      <c r="I128" s="67">
        <v>3700.7649999999999</v>
      </c>
      <c r="J128" s="67">
        <v>5</v>
      </c>
      <c r="K128" s="67">
        <v>966.46</v>
      </c>
      <c r="L128" s="67">
        <v>1</v>
      </c>
      <c r="M128" s="67">
        <v>977.41</v>
      </c>
      <c r="N128" s="67">
        <v>28</v>
      </c>
      <c r="O128" s="67">
        <v>4645.32</v>
      </c>
    </row>
    <row r="129" spans="2:15" ht="18" customHeight="1">
      <c r="B129" s="124"/>
      <c r="C129" s="60" t="s">
        <v>966</v>
      </c>
      <c r="D129" s="67">
        <v>80</v>
      </c>
      <c r="E129" s="67">
        <v>17318.599999999999</v>
      </c>
      <c r="F129" s="67">
        <v>25</v>
      </c>
      <c r="G129" s="67">
        <v>3364.13</v>
      </c>
      <c r="H129" s="67">
        <v>24</v>
      </c>
      <c r="I129" s="67">
        <v>4970.4399999999996</v>
      </c>
      <c r="J129" s="67">
        <v>2</v>
      </c>
      <c r="K129" s="67">
        <v>497.5</v>
      </c>
      <c r="L129" s="67">
        <v>3</v>
      </c>
      <c r="M129" s="67">
        <v>922.21</v>
      </c>
      <c r="N129" s="67">
        <v>26</v>
      </c>
      <c r="O129" s="67">
        <v>7564.32</v>
      </c>
    </row>
    <row r="130" spans="2:15" ht="18" customHeight="1">
      <c r="B130" s="124"/>
      <c r="C130" s="60" t="s">
        <v>967</v>
      </c>
      <c r="D130" s="67">
        <v>120</v>
      </c>
      <c r="E130" s="67">
        <v>21187.279999999999</v>
      </c>
      <c r="F130" s="67">
        <v>50</v>
      </c>
      <c r="G130" s="67">
        <v>7306.44</v>
      </c>
      <c r="H130" s="67">
        <v>46</v>
      </c>
      <c r="I130" s="67">
        <v>7899.1</v>
      </c>
      <c r="J130" s="67">
        <v>3</v>
      </c>
      <c r="K130" s="67">
        <v>852.98</v>
      </c>
      <c r="L130" s="67">
        <v>1</v>
      </c>
      <c r="M130" s="67">
        <v>328</v>
      </c>
      <c r="N130" s="67">
        <v>20</v>
      </c>
      <c r="O130" s="67">
        <v>4800.76</v>
      </c>
    </row>
    <row r="131" spans="2:15" ht="18" customHeight="1">
      <c r="B131" s="124"/>
      <c r="C131" s="60" t="s">
        <v>968</v>
      </c>
      <c r="D131" s="67">
        <v>213</v>
      </c>
      <c r="E131" s="67">
        <v>59162.210000000006</v>
      </c>
      <c r="F131" s="67">
        <v>84</v>
      </c>
      <c r="G131" s="67">
        <v>9288.5849999999991</v>
      </c>
      <c r="H131" s="67">
        <v>58</v>
      </c>
      <c r="I131" s="67">
        <v>10971.495000000001</v>
      </c>
      <c r="J131" s="67">
        <v>2</v>
      </c>
      <c r="K131" s="67">
        <v>1462.02</v>
      </c>
      <c r="L131" s="67">
        <v>3</v>
      </c>
      <c r="M131" s="67">
        <v>1172.21</v>
      </c>
      <c r="N131" s="67">
        <v>66</v>
      </c>
      <c r="O131" s="67">
        <v>36267.9</v>
      </c>
    </row>
    <row r="132" spans="2:15" ht="18" customHeight="1">
      <c r="B132" s="124"/>
      <c r="C132" s="60" t="s">
        <v>969</v>
      </c>
      <c r="D132" s="67">
        <v>171</v>
      </c>
      <c r="E132" s="67">
        <v>41506.402500000004</v>
      </c>
      <c r="F132" s="67">
        <v>86</v>
      </c>
      <c r="G132" s="67">
        <v>12178.344999999999</v>
      </c>
      <c r="H132" s="67">
        <v>41</v>
      </c>
      <c r="I132" s="67">
        <v>12139.4375</v>
      </c>
      <c r="J132" s="67">
        <v>12</v>
      </c>
      <c r="K132" s="67">
        <v>4345.6000000000004</v>
      </c>
      <c r="L132" s="67">
        <v>7</v>
      </c>
      <c r="M132" s="67">
        <v>1638.83</v>
      </c>
      <c r="N132" s="67">
        <v>25</v>
      </c>
      <c r="O132" s="67">
        <v>11204.19</v>
      </c>
    </row>
    <row r="133" spans="2:15" ht="18" customHeight="1">
      <c r="B133" s="124"/>
      <c r="C133" s="60" t="s">
        <v>970</v>
      </c>
      <c r="D133" s="67">
        <v>1511</v>
      </c>
      <c r="E133" s="67">
        <v>149261.79500000001</v>
      </c>
      <c r="F133" s="67">
        <v>1251</v>
      </c>
      <c r="G133" s="67">
        <v>93906.945000000007</v>
      </c>
      <c r="H133" s="67">
        <v>127</v>
      </c>
      <c r="I133" s="67">
        <v>25259.744999999999</v>
      </c>
      <c r="J133" s="67">
        <v>14</v>
      </c>
      <c r="K133" s="67">
        <v>8364.2199999999993</v>
      </c>
      <c r="L133" s="67">
        <v>10</v>
      </c>
      <c r="M133" s="67">
        <v>4444.28</v>
      </c>
      <c r="N133" s="67">
        <v>109</v>
      </c>
      <c r="O133" s="67">
        <v>17286.605</v>
      </c>
    </row>
    <row r="134" spans="2:15" ht="18" customHeight="1">
      <c r="B134" s="125"/>
      <c r="C134" s="60" t="s">
        <v>1037</v>
      </c>
      <c r="D134" s="67">
        <v>640</v>
      </c>
      <c r="E134" s="67">
        <v>46765.637999999999</v>
      </c>
      <c r="F134" s="67">
        <v>567</v>
      </c>
      <c r="G134" s="67">
        <v>32325.93</v>
      </c>
      <c r="H134" s="67">
        <v>27</v>
      </c>
      <c r="I134" s="67">
        <v>4649.1980000000003</v>
      </c>
      <c r="J134" s="67">
        <v>4</v>
      </c>
      <c r="K134" s="67">
        <v>678.73</v>
      </c>
      <c r="L134" s="67">
        <v>1</v>
      </c>
      <c r="M134" s="67">
        <v>163.5</v>
      </c>
      <c r="N134" s="67">
        <v>41</v>
      </c>
      <c r="O134" s="67">
        <v>8948.2800000000007</v>
      </c>
    </row>
    <row r="135" spans="2:15" ht="18" customHeight="1">
      <c r="B135" s="123" t="s">
        <v>981</v>
      </c>
      <c r="C135" s="59" t="s">
        <v>917</v>
      </c>
      <c r="D135" s="67">
        <v>3274</v>
      </c>
      <c r="E135" s="67">
        <v>355844.43399999995</v>
      </c>
      <c r="F135" s="67">
        <v>2370</v>
      </c>
      <c r="G135" s="67">
        <v>150878.16399999999</v>
      </c>
      <c r="H135" s="67">
        <v>443</v>
      </c>
      <c r="I135" s="67">
        <v>63325.849999999991</v>
      </c>
      <c r="J135" s="67">
        <v>54</v>
      </c>
      <c r="K135" s="67">
        <v>22854.334999999999</v>
      </c>
      <c r="L135" s="67">
        <v>50</v>
      </c>
      <c r="M135" s="67">
        <v>33830.639999999999</v>
      </c>
      <c r="N135" s="67">
        <v>357</v>
      </c>
      <c r="O135" s="67">
        <v>84955.444999999992</v>
      </c>
    </row>
    <row r="136" spans="2:15" ht="18" customHeight="1">
      <c r="B136" s="124"/>
      <c r="C136" s="60" t="s">
        <v>964</v>
      </c>
      <c r="D136" s="67">
        <v>97</v>
      </c>
      <c r="E136" s="67">
        <v>10961.009999999998</v>
      </c>
      <c r="F136" s="67">
        <v>33</v>
      </c>
      <c r="G136" s="67">
        <v>2302.1799999999998</v>
      </c>
      <c r="H136" s="67">
        <v>24</v>
      </c>
      <c r="I136" s="67">
        <v>1977.24</v>
      </c>
      <c r="J136" s="67">
        <v>4</v>
      </c>
      <c r="K136" s="67">
        <v>2585.14</v>
      </c>
      <c r="L136" s="67">
        <v>0</v>
      </c>
      <c r="M136" s="67">
        <v>0</v>
      </c>
      <c r="N136" s="67">
        <v>36</v>
      </c>
      <c r="O136" s="67">
        <v>4096.45</v>
      </c>
    </row>
    <row r="137" spans="2:15" ht="18" customHeight="1">
      <c r="B137" s="124"/>
      <c r="C137" s="60" t="s">
        <v>965</v>
      </c>
      <c r="D137" s="67">
        <v>104</v>
      </c>
      <c r="E137" s="67">
        <v>19646.66</v>
      </c>
      <c r="F137" s="67">
        <v>30</v>
      </c>
      <c r="G137" s="67">
        <v>2488.58</v>
      </c>
      <c r="H137" s="67">
        <v>37</v>
      </c>
      <c r="I137" s="67">
        <v>5135.38</v>
      </c>
      <c r="J137" s="67">
        <v>1</v>
      </c>
      <c r="K137" s="67">
        <v>57.6</v>
      </c>
      <c r="L137" s="67">
        <v>0</v>
      </c>
      <c r="M137" s="67">
        <v>0</v>
      </c>
      <c r="N137" s="67">
        <v>36</v>
      </c>
      <c r="O137" s="67">
        <v>11965.1</v>
      </c>
    </row>
    <row r="138" spans="2:15" ht="18" customHeight="1">
      <c r="B138" s="124"/>
      <c r="C138" s="60" t="s">
        <v>966</v>
      </c>
      <c r="D138" s="67">
        <v>100</v>
      </c>
      <c r="E138" s="67">
        <v>41723.79</v>
      </c>
      <c r="F138" s="67">
        <v>17</v>
      </c>
      <c r="G138" s="67">
        <v>1697.64</v>
      </c>
      <c r="H138" s="67">
        <v>34</v>
      </c>
      <c r="I138" s="67">
        <v>5255.37</v>
      </c>
      <c r="J138" s="67">
        <v>10</v>
      </c>
      <c r="K138" s="67">
        <v>3710.25</v>
      </c>
      <c r="L138" s="67">
        <v>8</v>
      </c>
      <c r="M138" s="67">
        <v>22851.21</v>
      </c>
      <c r="N138" s="67">
        <v>31</v>
      </c>
      <c r="O138" s="67">
        <v>8209.32</v>
      </c>
    </row>
    <row r="139" spans="2:15" ht="18" customHeight="1">
      <c r="B139" s="124"/>
      <c r="C139" s="60" t="s">
        <v>967</v>
      </c>
      <c r="D139" s="67">
        <v>137</v>
      </c>
      <c r="E139" s="67">
        <v>22827.200000000001</v>
      </c>
      <c r="F139" s="67">
        <v>42</v>
      </c>
      <c r="G139" s="67">
        <v>4200.2700000000004</v>
      </c>
      <c r="H139" s="67">
        <v>48</v>
      </c>
      <c r="I139" s="67">
        <v>9163.2350000000006</v>
      </c>
      <c r="J139" s="67">
        <v>6</v>
      </c>
      <c r="K139" s="67">
        <v>894.76499999999999</v>
      </c>
      <c r="L139" s="67">
        <v>6</v>
      </c>
      <c r="M139" s="67">
        <v>740.23</v>
      </c>
      <c r="N139" s="67">
        <v>35</v>
      </c>
      <c r="O139" s="67">
        <v>7828.7</v>
      </c>
    </row>
    <row r="140" spans="2:15" ht="18" customHeight="1">
      <c r="B140" s="124"/>
      <c r="C140" s="60" t="s">
        <v>968</v>
      </c>
      <c r="D140" s="67">
        <v>207</v>
      </c>
      <c r="E140" s="67">
        <v>39823.095000000001</v>
      </c>
      <c r="F140" s="67">
        <v>62</v>
      </c>
      <c r="G140" s="67">
        <v>6703.37</v>
      </c>
      <c r="H140" s="67">
        <v>54</v>
      </c>
      <c r="I140" s="67">
        <v>8063.79</v>
      </c>
      <c r="J140" s="67">
        <v>7</v>
      </c>
      <c r="K140" s="67">
        <v>2080.4</v>
      </c>
      <c r="L140" s="67">
        <v>13</v>
      </c>
      <c r="M140" s="67">
        <v>3927.45</v>
      </c>
      <c r="N140" s="67">
        <v>71</v>
      </c>
      <c r="O140" s="67">
        <v>19048.084999999999</v>
      </c>
    </row>
    <row r="141" spans="2:15" ht="18" customHeight="1">
      <c r="B141" s="124"/>
      <c r="C141" s="60" t="s">
        <v>969</v>
      </c>
      <c r="D141" s="67">
        <v>133</v>
      </c>
      <c r="E141" s="67">
        <v>33701.230000000003</v>
      </c>
      <c r="F141" s="67">
        <v>59</v>
      </c>
      <c r="G141" s="67">
        <v>7665.21</v>
      </c>
      <c r="H141" s="67">
        <v>37</v>
      </c>
      <c r="I141" s="67">
        <v>11537.56</v>
      </c>
      <c r="J141" s="67">
        <v>6</v>
      </c>
      <c r="K141" s="67">
        <v>4461.6000000000004</v>
      </c>
      <c r="L141" s="67">
        <v>3</v>
      </c>
      <c r="M141" s="67">
        <v>829.2</v>
      </c>
      <c r="N141" s="67">
        <v>28</v>
      </c>
      <c r="O141" s="67">
        <v>9207.66</v>
      </c>
    </row>
    <row r="142" spans="2:15" ht="18" customHeight="1">
      <c r="B142" s="124"/>
      <c r="C142" s="60" t="s">
        <v>970</v>
      </c>
      <c r="D142" s="67">
        <v>1211</v>
      </c>
      <c r="E142" s="67">
        <v>93357.624999999985</v>
      </c>
      <c r="F142" s="67">
        <v>1004</v>
      </c>
      <c r="G142" s="67">
        <v>59433.75</v>
      </c>
      <c r="H142" s="67">
        <v>122</v>
      </c>
      <c r="I142" s="67">
        <v>10980.045</v>
      </c>
      <c r="J142" s="67">
        <v>14</v>
      </c>
      <c r="K142" s="67">
        <v>7171.26</v>
      </c>
      <c r="L142" s="67">
        <v>7</v>
      </c>
      <c r="M142" s="67">
        <v>2185.1999999999998</v>
      </c>
      <c r="N142" s="67">
        <v>64</v>
      </c>
      <c r="O142" s="67">
        <v>13587.37</v>
      </c>
    </row>
    <row r="143" spans="2:15" ht="18" customHeight="1">
      <c r="B143" s="125"/>
      <c r="C143" s="60" t="s">
        <v>1037</v>
      </c>
      <c r="D143" s="67">
        <v>1285</v>
      </c>
      <c r="E143" s="67">
        <v>93803.824000000008</v>
      </c>
      <c r="F143" s="67">
        <v>1123</v>
      </c>
      <c r="G143" s="67">
        <v>66387.164000000004</v>
      </c>
      <c r="H143" s="67">
        <v>87</v>
      </c>
      <c r="I143" s="67">
        <v>11213.23</v>
      </c>
      <c r="J143" s="67">
        <v>6</v>
      </c>
      <c r="K143" s="67">
        <v>1893.32</v>
      </c>
      <c r="L143" s="67">
        <v>13</v>
      </c>
      <c r="M143" s="67">
        <v>3297.35</v>
      </c>
      <c r="N143" s="67">
        <v>56</v>
      </c>
      <c r="O143" s="67">
        <v>11012.76</v>
      </c>
    </row>
    <row r="144" spans="2:15" ht="18" customHeight="1">
      <c r="B144" s="123" t="s">
        <v>982</v>
      </c>
      <c r="C144" s="59" t="s">
        <v>917</v>
      </c>
      <c r="D144" s="67">
        <v>3632</v>
      </c>
      <c r="E144" s="67">
        <v>494795.75600000005</v>
      </c>
      <c r="F144" s="67">
        <v>2525</v>
      </c>
      <c r="G144" s="67">
        <v>213599.38999999998</v>
      </c>
      <c r="H144" s="67">
        <v>516</v>
      </c>
      <c r="I144" s="67">
        <v>108849.64850000001</v>
      </c>
      <c r="J144" s="67">
        <v>87</v>
      </c>
      <c r="K144" s="67">
        <v>49924.032500000001</v>
      </c>
      <c r="L144" s="67">
        <v>41</v>
      </c>
      <c r="M144" s="67">
        <v>17909.27</v>
      </c>
      <c r="N144" s="67">
        <v>463</v>
      </c>
      <c r="O144" s="67">
        <v>104513.41500000001</v>
      </c>
    </row>
    <row r="145" spans="2:15" ht="18" customHeight="1">
      <c r="B145" s="124"/>
      <c r="C145" s="60" t="s">
        <v>964</v>
      </c>
      <c r="D145" s="67">
        <v>176</v>
      </c>
      <c r="E145" s="67">
        <v>26086.879999999997</v>
      </c>
      <c r="F145" s="67">
        <v>41</v>
      </c>
      <c r="G145" s="67">
        <v>4764.0200000000004</v>
      </c>
      <c r="H145" s="67">
        <v>81</v>
      </c>
      <c r="I145" s="67">
        <v>11911.41</v>
      </c>
      <c r="J145" s="67">
        <v>4</v>
      </c>
      <c r="K145" s="67">
        <v>2795.3</v>
      </c>
      <c r="L145" s="67">
        <v>2</v>
      </c>
      <c r="M145" s="67">
        <v>186.5</v>
      </c>
      <c r="N145" s="67">
        <v>48</v>
      </c>
      <c r="O145" s="67">
        <v>6429.65</v>
      </c>
    </row>
    <row r="146" spans="2:15" ht="18" customHeight="1">
      <c r="B146" s="124"/>
      <c r="C146" s="60" t="s">
        <v>965</v>
      </c>
      <c r="D146" s="67">
        <v>117</v>
      </c>
      <c r="E146" s="67">
        <v>23219.360000000001</v>
      </c>
      <c r="F146" s="67">
        <v>36</v>
      </c>
      <c r="G146" s="67">
        <v>3922.18</v>
      </c>
      <c r="H146" s="67">
        <v>31</v>
      </c>
      <c r="I146" s="67">
        <v>4745.87</v>
      </c>
      <c r="J146" s="67">
        <v>3</v>
      </c>
      <c r="K146" s="67">
        <v>1897.36</v>
      </c>
      <c r="L146" s="67">
        <v>6</v>
      </c>
      <c r="M146" s="67">
        <v>4877.07</v>
      </c>
      <c r="N146" s="67">
        <v>41</v>
      </c>
      <c r="O146" s="67">
        <v>7776.88</v>
      </c>
    </row>
    <row r="147" spans="2:15" ht="18" customHeight="1">
      <c r="B147" s="124"/>
      <c r="C147" s="60" t="s">
        <v>966</v>
      </c>
      <c r="D147" s="67">
        <v>124</v>
      </c>
      <c r="E147" s="67">
        <v>53160.78</v>
      </c>
      <c r="F147" s="67">
        <v>35</v>
      </c>
      <c r="G147" s="67">
        <v>28383.1</v>
      </c>
      <c r="H147" s="67">
        <v>32</v>
      </c>
      <c r="I147" s="67">
        <v>9215.7900000000009</v>
      </c>
      <c r="J147" s="67">
        <v>5</v>
      </c>
      <c r="K147" s="67">
        <v>2748.84</v>
      </c>
      <c r="L147" s="67">
        <v>3</v>
      </c>
      <c r="M147" s="67">
        <v>4037.07</v>
      </c>
      <c r="N147" s="67">
        <v>49</v>
      </c>
      <c r="O147" s="67">
        <v>8775.98</v>
      </c>
    </row>
    <row r="148" spans="2:15" ht="18" customHeight="1">
      <c r="B148" s="124"/>
      <c r="C148" s="60" t="s">
        <v>967</v>
      </c>
      <c r="D148" s="67">
        <v>180</v>
      </c>
      <c r="E148" s="67">
        <v>69734.798999999999</v>
      </c>
      <c r="F148" s="67">
        <v>38</v>
      </c>
      <c r="G148" s="67">
        <v>34813.769999999997</v>
      </c>
      <c r="H148" s="67">
        <v>70</v>
      </c>
      <c r="I148" s="67">
        <v>12267.239</v>
      </c>
      <c r="J148" s="67">
        <v>10</v>
      </c>
      <c r="K148" s="67">
        <v>5355.33</v>
      </c>
      <c r="L148" s="67">
        <v>5</v>
      </c>
      <c r="M148" s="67">
        <v>1749.22</v>
      </c>
      <c r="N148" s="67">
        <v>57</v>
      </c>
      <c r="O148" s="67">
        <v>15549.24</v>
      </c>
    </row>
    <row r="149" spans="2:15" ht="18" customHeight="1">
      <c r="B149" s="124"/>
      <c r="C149" s="60" t="s">
        <v>968</v>
      </c>
      <c r="D149" s="67">
        <v>204</v>
      </c>
      <c r="E149" s="67">
        <v>44713.375</v>
      </c>
      <c r="F149" s="67">
        <v>76</v>
      </c>
      <c r="G149" s="67">
        <v>8313.4500000000007</v>
      </c>
      <c r="H149" s="67">
        <v>66</v>
      </c>
      <c r="I149" s="67">
        <v>17874.57</v>
      </c>
      <c r="J149" s="67">
        <v>11</v>
      </c>
      <c r="K149" s="67">
        <v>7325.74</v>
      </c>
      <c r="L149" s="67">
        <v>8</v>
      </c>
      <c r="M149" s="67">
        <v>1539.97</v>
      </c>
      <c r="N149" s="67">
        <v>43</v>
      </c>
      <c r="O149" s="67">
        <v>9659.6450000000004</v>
      </c>
    </row>
    <row r="150" spans="2:15" ht="18" customHeight="1">
      <c r="B150" s="124"/>
      <c r="C150" s="60" t="s">
        <v>969</v>
      </c>
      <c r="D150" s="67">
        <v>190</v>
      </c>
      <c r="E150" s="67">
        <v>52800.914999999994</v>
      </c>
      <c r="F150" s="67">
        <v>57</v>
      </c>
      <c r="G150" s="67">
        <v>6776.3</v>
      </c>
      <c r="H150" s="67">
        <v>43</v>
      </c>
      <c r="I150" s="67">
        <v>10945.014999999999</v>
      </c>
      <c r="J150" s="67">
        <v>16</v>
      </c>
      <c r="K150" s="67">
        <v>7695.57</v>
      </c>
      <c r="L150" s="67">
        <v>4</v>
      </c>
      <c r="M150" s="67">
        <v>2069.69</v>
      </c>
      <c r="N150" s="67">
        <v>70</v>
      </c>
      <c r="O150" s="67">
        <v>25314.34</v>
      </c>
    </row>
    <row r="151" spans="2:15" ht="18" customHeight="1">
      <c r="B151" s="124"/>
      <c r="C151" s="60" t="s">
        <v>970</v>
      </c>
      <c r="D151" s="67">
        <v>1102</v>
      </c>
      <c r="E151" s="67">
        <v>122958.986</v>
      </c>
      <c r="F151" s="67">
        <v>891</v>
      </c>
      <c r="G151" s="67">
        <v>58468.142999999996</v>
      </c>
      <c r="H151" s="67">
        <v>108</v>
      </c>
      <c r="I151" s="67">
        <v>31028.040499999999</v>
      </c>
      <c r="J151" s="67">
        <v>29</v>
      </c>
      <c r="K151" s="67">
        <v>16277.522499999999</v>
      </c>
      <c r="L151" s="67">
        <v>7</v>
      </c>
      <c r="M151" s="67">
        <v>3029.1</v>
      </c>
      <c r="N151" s="67">
        <v>67</v>
      </c>
      <c r="O151" s="67">
        <v>14156.18</v>
      </c>
    </row>
    <row r="152" spans="2:15" ht="18" customHeight="1">
      <c r="B152" s="125"/>
      <c r="C152" s="60" t="s">
        <v>1037</v>
      </c>
      <c r="D152" s="67">
        <v>1539</v>
      </c>
      <c r="E152" s="67">
        <v>102120.66099999999</v>
      </c>
      <c r="F152" s="67">
        <v>1351</v>
      </c>
      <c r="G152" s="67">
        <v>68158.426999999996</v>
      </c>
      <c r="H152" s="67">
        <v>85</v>
      </c>
      <c r="I152" s="67">
        <v>10861.714</v>
      </c>
      <c r="J152" s="67">
        <v>9</v>
      </c>
      <c r="K152" s="67">
        <v>5828.37</v>
      </c>
      <c r="L152" s="67">
        <v>6</v>
      </c>
      <c r="M152" s="67">
        <v>420.65</v>
      </c>
      <c r="N152" s="67">
        <v>88</v>
      </c>
      <c r="O152" s="67">
        <v>16851.5</v>
      </c>
    </row>
    <row r="153" spans="2:15" ht="18" customHeight="1">
      <c r="B153" s="123" t="s">
        <v>983</v>
      </c>
      <c r="C153" s="59" t="s">
        <v>917</v>
      </c>
      <c r="D153" s="67">
        <v>3854</v>
      </c>
      <c r="E153" s="67">
        <v>651065.43709999998</v>
      </c>
      <c r="F153" s="67">
        <v>2861</v>
      </c>
      <c r="G153" s="67">
        <v>344418.11900000006</v>
      </c>
      <c r="H153" s="67">
        <v>510</v>
      </c>
      <c r="I153" s="67">
        <v>123316.00200000001</v>
      </c>
      <c r="J153" s="67">
        <v>76</v>
      </c>
      <c r="K153" s="67">
        <v>70827.112599999993</v>
      </c>
      <c r="L153" s="67">
        <v>47</v>
      </c>
      <c r="M153" s="67">
        <v>28395.458500000001</v>
      </c>
      <c r="N153" s="67">
        <v>360</v>
      </c>
      <c r="O153" s="67">
        <v>84108.74500000001</v>
      </c>
    </row>
    <row r="154" spans="2:15" ht="18" customHeight="1">
      <c r="B154" s="124"/>
      <c r="C154" s="60" t="s">
        <v>964</v>
      </c>
      <c r="D154" s="67">
        <v>121</v>
      </c>
      <c r="E154" s="67">
        <v>12757.86</v>
      </c>
      <c r="F154" s="67">
        <v>49</v>
      </c>
      <c r="G154" s="67">
        <v>5652.16</v>
      </c>
      <c r="H154" s="67">
        <v>43</v>
      </c>
      <c r="I154" s="67">
        <v>4374.45</v>
      </c>
      <c r="J154" s="67">
        <v>4</v>
      </c>
      <c r="K154" s="67">
        <v>1164.3800000000001</v>
      </c>
      <c r="L154" s="67">
        <v>0</v>
      </c>
      <c r="M154" s="67">
        <v>0</v>
      </c>
      <c r="N154" s="67">
        <v>25</v>
      </c>
      <c r="O154" s="67">
        <v>1566.87</v>
      </c>
    </row>
    <row r="155" spans="2:15" ht="18" customHeight="1">
      <c r="B155" s="124"/>
      <c r="C155" s="60" t="s">
        <v>965</v>
      </c>
      <c r="D155" s="67">
        <v>80</v>
      </c>
      <c r="E155" s="67">
        <v>18726.213799999998</v>
      </c>
      <c r="F155" s="67">
        <v>28</v>
      </c>
      <c r="G155" s="67">
        <v>3695.81</v>
      </c>
      <c r="H155" s="67">
        <v>32</v>
      </c>
      <c r="I155" s="67">
        <v>8185.61</v>
      </c>
      <c r="J155" s="67">
        <v>5</v>
      </c>
      <c r="K155" s="67">
        <v>3913.57</v>
      </c>
      <c r="L155" s="67">
        <v>5</v>
      </c>
      <c r="M155" s="67">
        <v>1424.2837999999999</v>
      </c>
      <c r="N155" s="67">
        <v>10</v>
      </c>
      <c r="O155" s="67">
        <v>1506.94</v>
      </c>
    </row>
    <row r="156" spans="2:15" ht="18" customHeight="1">
      <c r="B156" s="124"/>
      <c r="C156" s="60" t="s">
        <v>966</v>
      </c>
      <c r="D156" s="67">
        <v>134</v>
      </c>
      <c r="E156" s="67">
        <v>27487.89</v>
      </c>
      <c r="F156" s="67">
        <v>49</v>
      </c>
      <c r="G156" s="67">
        <v>7117.67</v>
      </c>
      <c r="H156" s="67">
        <v>50</v>
      </c>
      <c r="I156" s="67">
        <v>9874.26</v>
      </c>
      <c r="J156" s="67">
        <v>6</v>
      </c>
      <c r="K156" s="67">
        <v>2707.93</v>
      </c>
      <c r="L156" s="67">
        <v>2</v>
      </c>
      <c r="M156" s="67">
        <v>426.82</v>
      </c>
      <c r="N156" s="67">
        <v>27</v>
      </c>
      <c r="O156" s="67">
        <v>7361.21</v>
      </c>
    </row>
    <row r="157" spans="2:15" ht="18" customHeight="1">
      <c r="B157" s="124"/>
      <c r="C157" s="60" t="s">
        <v>967</v>
      </c>
      <c r="D157" s="67">
        <v>124</v>
      </c>
      <c r="E157" s="67">
        <v>21207.199999999997</v>
      </c>
      <c r="F157" s="67">
        <v>50</v>
      </c>
      <c r="G157" s="67">
        <v>4637.1400000000003</v>
      </c>
      <c r="H157" s="67">
        <v>46</v>
      </c>
      <c r="I157" s="67">
        <v>9055.56</v>
      </c>
      <c r="J157" s="67">
        <v>2</v>
      </c>
      <c r="K157" s="67">
        <v>1094.81</v>
      </c>
      <c r="L157" s="67">
        <v>1</v>
      </c>
      <c r="M157" s="67">
        <v>1987.79</v>
      </c>
      <c r="N157" s="67">
        <v>25</v>
      </c>
      <c r="O157" s="67">
        <v>4431.8999999999996</v>
      </c>
    </row>
    <row r="158" spans="2:15" ht="18" customHeight="1">
      <c r="B158" s="124"/>
      <c r="C158" s="60" t="s">
        <v>968</v>
      </c>
      <c r="D158" s="67">
        <v>271</v>
      </c>
      <c r="E158" s="67">
        <v>78936.403699999995</v>
      </c>
      <c r="F158" s="67">
        <v>99</v>
      </c>
      <c r="G158" s="67">
        <v>14038.42</v>
      </c>
      <c r="H158" s="67">
        <v>71</v>
      </c>
      <c r="I158" s="67">
        <v>24102.048999999999</v>
      </c>
      <c r="J158" s="67">
        <v>11</v>
      </c>
      <c r="K158" s="67">
        <v>9759</v>
      </c>
      <c r="L158" s="67">
        <v>12</v>
      </c>
      <c r="M158" s="67">
        <v>4685.9147000000003</v>
      </c>
      <c r="N158" s="67">
        <v>78</v>
      </c>
      <c r="O158" s="67">
        <v>26351.02</v>
      </c>
    </row>
    <row r="159" spans="2:15" ht="18" customHeight="1">
      <c r="B159" s="124"/>
      <c r="C159" s="60" t="s">
        <v>969</v>
      </c>
      <c r="D159" s="67">
        <v>222</v>
      </c>
      <c r="E159" s="67">
        <v>110311.52860000001</v>
      </c>
      <c r="F159" s="67">
        <v>124</v>
      </c>
      <c r="G159" s="67">
        <v>50697.644999999997</v>
      </c>
      <c r="H159" s="67">
        <v>51</v>
      </c>
      <c r="I159" s="67">
        <v>17388.791000000001</v>
      </c>
      <c r="J159" s="67">
        <v>14</v>
      </c>
      <c r="K159" s="67">
        <v>31544.552599999999</v>
      </c>
      <c r="L159" s="67">
        <v>3</v>
      </c>
      <c r="M159" s="67">
        <v>527.41</v>
      </c>
      <c r="N159" s="67">
        <v>30</v>
      </c>
      <c r="O159" s="67">
        <v>10153.129999999999</v>
      </c>
    </row>
    <row r="160" spans="2:15" ht="18" customHeight="1">
      <c r="B160" s="124"/>
      <c r="C160" s="60" t="s">
        <v>970</v>
      </c>
      <c r="D160" s="67">
        <v>1571</v>
      </c>
      <c r="E160" s="67">
        <v>269857.19400000002</v>
      </c>
      <c r="F160" s="67">
        <v>1300</v>
      </c>
      <c r="G160" s="67">
        <v>180422.592</v>
      </c>
      <c r="H160" s="67">
        <v>150</v>
      </c>
      <c r="I160" s="67">
        <v>42734.347000000002</v>
      </c>
      <c r="J160" s="67">
        <v>24</v>
      </c>
      <c r="K160" s="67">
        <v>18453.68</v>
      </c>
      <c r="L160" s="67">
        <v>12</v>
      </c>
      <c r="M160" s="67">
        <v>10110.17</v>
      </c>
      <c r="N160" s="67">
        <v>85</v>
      </c>
      <c r="O160" s="67">
        <v>18136.404999999999</v>
      </c>
    </row>
    <row r="161" spans="2:15" ht="18" customHeight="1">
      <c r="B161" s="125"/>
      <c r="C161" s="60" t="s">
        <v>1037</v>
      </c>
      <c r="D161" s="67">
        <v>1331</v>
      </c>
      <c r="E161" s="67">
        <v>111781.14700000001</v>
      </c>
      <c r="F161" s="67">
        <v>1162</v>
      </c>
      <c r="G161" s="67">
        <v>78156.682000000001</v>
      </c>
      <c r="H161" s="67">
        <v>67</v>
      </c>
      <c r="I161" s="67">
        <v>7600.9350000000004</v>
      </c>
      <c r="J161" s="67">
        <v>10</v>
      </c>
      <c r="K161" s="67">
        <v>2189.19</v>
      </c>
      <c r="L161" s="67">
        <v>12</v>
      </c>
      <c r="M161" s="67">
        <v>9233.07</v>
      </c>
      <c r="N161" s="67">
        <v>80</v>
      </c>
      <c r="O161" s="67">
        <v>14601.27</v>
      </c>
    </row>
    <row r="162" spans="2:15" ht="18" customHeight="1">
      <c r="B162" s="119" t="s">
        <v>984</v>
      </c>
      <c r="C162" s="59" t="s">
        <v>917</v>
      </c>
      <c r="D162" s="67">
        <v>675</v>
      </c>
      <c r="E162" s="67">
        <v>118721.395</v>
      </c>
      <c r="F162" s="67">
        <v>360</v>
      </c>
      <c r="G162" s="67">
        <v>28410.557999999997</v>
      </c>
      <c r="H162" s="67">
        <v>129</v>
      </c>
      <c r="I162" s="67">
        <v>63177.957000000002</v>
      </c>
      <c r="J162" s="67">
        <v>5</v>
      </c>
      <c r="K162" s="67">
        <v>3592.7400000000002</v>
      </c>
      <c r="L162" s="67">
        <v>15</v>
      </c>
      <c r="M162" s="67">
        <v>3242.39</v>
      </c>
      <c r="N162" s="67">
        <v>166</v>
      </c>
      <c r="O162" s="67">
        <v>20297.75</v>
      </c>
    </row>
    <row r="163" spans="2:15" ht="18" customHeight="1">
      <c r="B163" s="119"/>
      <c r="C163" s="60" t="s">
        <v>964</v>
      </c>
      <c r="D163" s="67">
        <v>52</v>
      </c>
      <c r="E163" s="67">
        <v>5759.74</v>
      </c>
      <c r="F163" s="67">
        <v>16</v>
      </c>
      <c r="G163" s="67">
        <v>897.28</v>
      </c>
      <c r="H163" s="67">
        <v>12</v>
      </c>
      <c r="I163" s="67">
        <v>1993.38</v>
      </c>
      <c r="J163" s="67">
        <v>1</v>
      </c>
      <c r="K163" s="67">
        <v>1305.05</v>
      </c>
      <c r="L163" s="67">
        <v>0</v>
      </c>
      <c r="M163" s="67">
        <v>0</v>
      </c>
      <c r="N163" s="67">
        <v>23</v>
      </c>
      <c r="O163" s="67">
        <v>1564.03</v>
      </c>
    </row>
    <row r="164" spans="2:15" ht="18" customHeight="1">
      <c r="B164" s="119"/>
      <c r="C164" s="60" t="s">
        <v>965</v>
      </c>
      <c r="D164" s="67">
        <v>34</v>
      </c>
      <c r="E164" s="67">
        <v>4609.0149999999994</v>
      </c>
      <c r="F164" s="67">
        <v>11</v>
      </c>
      <c r="G164" s="67">
        <v>1183.875</v>
      </c>
      <c r="H164" s="67">
        <v>9</v>
      </c>
      <c r="I164" s="67">
        <v>1842.03</v>
      </c>
      <c r="J164" s="67">
        <v>0</v>
      </c>
      <c r="K164" s="67">
        <v>0</v>
      </c>
      <c r="L164" s="67">
        <v>1</v>
      </c>
      <c r="M164" s="67">
        <v>46.49</v>
      </c>
      <c r="N164" s="67">
        <v>13</v>
      </c>
      <c r="O164" s="67">
        <v>1536.62</v>
      </c>
    </row>
    <row r="165" spans="2:15" ht="18" customHeight="1">
      <c r="B165" s="119"/>
      <c r="C165" s="60" t="s">
        <v>966</v>
      </c>
      <c r="D165" s="67">
        <v>39</v>
      </c>
      <c r="E165" s="67">
        <v>17088.71</v>
      </c>
      <c r="F165" s="67">
        <v>11</v>
      </c>
      <c r="G165" s="67">
        <v>2687.9</v>
      </c>
      <c r="H165" s="67">
        <v>20</v>
      </c>
      <c r="I165" s="67">
        <v>13086.79</v>
      </c>
      <c r="J165" s="67">
        <v>0</v>
      </c>
      <c r="K165" s="67">
        <v>0</v>
      </c>
      <c r="L165" s="67">
        <v>0</v>
      </c>
      <c r="M165" s="67">
        <v>0</v>
      </c>
      <c r="N165" s="67">
        <v>8</v>
      </c>
      <c r="O165" s="67">
        <v>1314.02</v>
      </c>
    </row>
    <row r="166" spans="2:15" ht="18" customHeight="1">
      <c r="B166" s="119"/>
      <c r="C166" s="60" t="s">
        <v>967</v>
      </c>
      <c r="D166" s="67">
        <v>50</v>
      </c>
      <c r="E166" s="67">
        <v>17719.539999999997</v>
      </c>
      <c r="F166" s="67">
        <v>15</v>
      </c>
      <c r="G166" s="67">
        <v>2830.33</v>
      </c>
      <c r="H166" s="67">
        <v>11</v>
      </c>
      <c r="I166" s="67">
        <v>11647.32</v>
      </c>
      <c r="J166" s="67">
        <v>0</v>
      </c>
      <c r="K166" s="67">
        <v>0</v>
      </c>
      <c r="L166" s="67">
        <v>13</v>
      </c>
      <c r="M166" s="67">
        <v>1714.05</v>
      </c>
      <c r="N166" s="67">
        <v>11</v>
      </c>
      <c r="O166" s="67">
        <v>1527.84</v>
      </c>
    </row>
    <row r="167" spans="2:15" ht="18" customHeight="1">
      <c r="B167" s="119"/>
      <c r="C167" s="60" t="s">
        <v>968</v>
      </c>
      <c r="D167" s="67">
        <v>68</v>
      </c>
      <c r="E167" s="67">
        <v>11744.17</v>
      </c>
      <c r="F167" s="67">
        <v>19</v>
      </c>
      <c r="G167" s="67">
        <v>2230.4699999999998</v>
      </c>
      <c r="H167" s="67">
        <v>11</v>
      </c>
      <c r="I167" s="67">
        <v>3554.68</v>
      </c>
      <c r="J167" s="67">
        <v>0</v>
      </c>
      <c r="K167" s="67">
        <v>0</v>
      </c>
      <c r="L167" s="67">
        <v>0</v>
      </c>
      <c r="M167" s="67">
        <v>0</v>
      </c>
      <c r="N167" s="67">
        <v>38</v>
      </c>
      <c r="O167" s="67">
        <v>5959.02</v>
      </c>
    </row>
    <row r="168" spans="2:15" ht="18" customHeight="1">
      <c r="B168" s="119"/>
      <c r="C168" s="60" t="s">
        <v>969</v>
      </c>
      <c r="D168" s="67">
        <v>56</v>
      </c>
      <c r="E168" s="67">
        <v>23665.200000000001</v>
      </c>
      <c r="F168" s="67">
        <v>16</v>
      </c>
      <c r="G168" s="67">
        <v>2311.0700000000002</v>
      </c>
      <c r="H168" s="67">
        <v>19</v>
      </c>
      <c r="I168" s="67">
        <v>17470.2</v>
      </c>
      <c r="J168" s="67">
        <v>2</v>
      </c>
      <c r="K168" s="67">
        <v>284.02999999999997</v>
      </c>
      <c r="L168" s="67">
        <v>1</v>
      </c>
      <c r="M168" s="67">
        <v>1447.29</v>
      </c>
      <c r="N168" s="67">
        <v>18</v>
      </c>
      <c r="O168" s="67">
        <v>2152.61</v>
      </c>
    </row>
    <row r="169" spans="2:15" ht="18" customHeight="1">
      <c r="B169" s="119"/>
      <c r="C169" s="60" t="s">
        <v>970</v>
      </c>
      <c r="D169" s="67">
        <v>207</v>
      </c>
      <c r="E169" s="67">
        <v>25451.97</v>
      </c>
      <c r="F169" s="67">
        <v>122</v>
      </c>
      <c r="G169" s="67">
        <v>8052.48</v>
      </c>
      <c r="H169" s="67">
        <v>41</v>
      </c>
      <c r="I169" s="67">
        <v>11364.92</v>
      </c>
      <c r="J169" s="67">
        <v>2</v>
      </c>
      <c r="K169" s="67">
        <v>1930.93</v>
      </c>
      <c r="L169" s="67">
        <v>0</v>
      </c>
      <c r="M169" s="67">
        <v>34.56</v>
      </c>
      <c r="N169" s="67">
        <v>42</v>
      </c>
      <c r="O169" s="67">
        <v>4069.08</v>
      </c>
    </row>
    <row r="170" spans="2:15" ht="18" customHeight="1">
      <c r="B170" s="119"/>
      <c r="C170" s="63" t="s">
        <v>1037</v>
      </c>
      <c r="D170" s="67">
        <v>169</v>
      </c>
      <c r="E170" s="67">
        <v>12683.050000000001</v>
      </c>
      <c r="F170" s="67">
        <v>150</v>
      </c>
      <c r="G170" s="67">
        <v>8217.1530000000002</v>
      </c>
      <c r="H170" s="67">
        <v>6</v>
      </c>
      <c r="I170" s="67">
        <v>2218.6370000000002</v>
      </c>
      <c r="J170" s="67">
        <v>0</v>
      </c>
      <c r="K170" s="67">
        <v>72.73</v>
      </c>
      <c r="L170" s="67">
        <v>0</v>
      </c>
      <c r="M170" s="67">
        <v>0</v>
      </c>
      <c r="N170" s="67">
        <v>13</v>
      </c>
      <c r="O170" s="67">
        <v>2174.5300000000002</v>
      </c>
    </row>
  </sheetData>
  <mergeCells count="25">
    <mergeCell ref="B9:B17"/>
    <mergeCell ref="B72:B80"/>
    <mergeCell ref="B63:B71"/>
    <mergeCell ref="B54:B62"/>
    <mergeCell ref="B45:B53"/>
    <mergeCell ref="B36:B44"/>
    <mergeCell ref="B27:B35"/>
    <mergeCell ref="B18:B26"/>
    <mergeCell ref="B117:B125"/>
    <mergeCell ref="B108:B116"/>
    <mergeCell ref="B99:B107"/>
    <mergeCell ref="B90:B98"/>
    <mergeCell ref="B81:B89"/>
    <mergeCell ref="B162:B170"/>
    <mergeCell ref="B153:B161"/>
    <mergeCell ref="B144:B152"/>
    <mergeCell ref="B135:B143"/>
    <mergeCell ref="B126:B134"/>
    <mergeCell ref="N7:O7"/>
    <mergeCell ref="B7:C8"/>
    <mergeCell ref="D7:E7"/>
    <mergeCell ref="F7:G7"/>
    <mergeCell ref="H7:I7"/>
    <mergeCell ref="J7:K7"/>
    <mergeCell ref="L7:M7"/>
  </mergeCells>
  <phoneticPr fontId="3" type="noConversion"/>
  <pageMargins left="0.7" right="0.7" top="0.75" bottom="0.75" header="0.3" footer="0.3"/>
  <pageSetup paperSize="9" scale="6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4"/>
  <sheetViews>
    <sheetView zoomScaleNormal="100" workbookViewId="0">
      <selection activeCell="B3" sqref="B3"/>
    </sheetView>
  </sheetViews>
  <sheetFormatPr defaultRowHeight="16.5"/>
  <cols>
    <col min="1" max="1" width="2.625" style="10" customWidth="1"/>
    <col min="2" max="2" width="15.375" style="1" bestFit="1" customWidth="1"/>
    <col min="3" max="12" width="14.5" customWidth="1"/>
  </cols>
  <sheetData>
    <row r="1" spans="1:12" s="18" customFormat="1" ht="30" customHeight="1">
      <c r="A1" s="9" t="s">
        <v>1556</v>
      </c>
      <c r="B1" s="7"/>
      <c r="C1" s="7"/>
      <c r="G1" s="39"/>
    </row>
    <row r="2" spans="1:12" s="18" customFormat="1" ht="18" customHeight="1">
      <c r="A2" s="10"/>
      <c r="B2" s="34"/>
      <c r="G2" s="39"/>
      <c r="L2" s="11" t="s">
        <v>1541</v>
      </c>
    </row>
    <row r="3" spans="1:12">
      <c r="B3" s="71" t="s">
        <v>1529</v>
      </c>
      <c r="C3" s="71" t="s">
        <v>1530</v>
      </c>
      <c r="D3" s="71" t="s">
        <v>1531</v>
      </c>
      <c r="E3" s="71" t="s">
        <v>1532</v>
      </c>
      <c r="F3" s="71" t="s">
        <v>1533</v>
      </c>
      <c r="G3" s="71" t="s">
        <v>1534</v>
      </c>
      <c r="H3" s="71" t="s">
        <v>1513</v>
      </c>
      <c r="I3" s="71" t="s">
        <v>1535</v>
      </c>
      <c r="J3" s="71" t="s">
        <v>1536</v>
      </c>
      <c r="K3" s="71" t="s">
        <v>1537</v>
      </c>
      <c r="L3" s="71" t="s">
        <v>1538</v>
      </c>
    </row>
    <row r="4" spans="1:12">
      <c r="B4" s="16" t="s">
        <v>0</v>
      </c>
      <c r="C4" s="67">
        <f>SUM(D4:L4)</f>
        <v>7391084</v>
      </c>
      <c r="D4" s="67">
        <f>SUM(D5:D21)</f>
        <v>4489003</v>
      </c>
      <c r="E4" s="67">
        <f t="shared" ref="E4:L4" si="0">SUM(E5:E21)</f>
        <v>2462327</v>
      </c>
      <c r="F4" s="67">
        <f t="shared" si="0"/>
        <v>185860</v>
      </c>
      <c r="G4" s="67">
        <f t="shared" si="0"/>
        <v>100671</v>
      </c>
      <c r="H4" s="67">
        <f t="shared" si="0"/>
        <v>100323</v>
      </c>
      <c r="I4" s="67">
        <f t="shared" si="0"/>
        <v>30106</v>
      </c>
      <c r="J4" s="67">
        <f>SUM(J5:J21)</f>
        <v>4184</v>
      </c>
      <c r="K4" s="67">
        <f>SUM(K5:K21)</f>
        <v>132</v>
      </c>
      <c r="L4" s="67">
        <f t="shared" si="0"/>
        <v>18478</v>
      </c>
    </row>
    <row r="5" spans="1:12">
      <c r="B5" s="16" t="s">
        <v>1514</v>
      </c>
      <c r="C5" s="67">
        <f t="shared" ref="C5:C21" si="1">SUM(D5:L5)</f>
        <v>579408</v>
      </c>
      <c r="D5" s="67">
        <v>101428</v>
      </c>
      <c r="E5" s="67">
        <v>350553</v>
      </c>
      <c r="F5" s="67">
        <v>66712</v>
      </c>
      <c r="G5" s="67">
        <v>37274</v>
      </c>
      <c r="H5" s="67">
        <v>17881</v>
      </c>
      <c r="I5" s="67">
        <v>4105</v>
      </c>
      <c r="J5" s="67">
        <v>554</v>
      </c>
      <c r="K5" s="67">
        <v>24</v>
      </c>
      <c r="L5" s="67">
        <v>877</v>
      </c>
    </row>
    <row r="6" spans="1:12">
      <c r="B6" s="16" t="s">
        <v>1515</v>
      </c>
      <c r="C6" s="67">
        <f t="shared" si="1"/>
        <v>348634</v>
      </c>
      <c r="D6" s="67">
        <v>136999</v>
      </c>
      <c r="E6" s="67">
        <v>177503</v>
      </c>
      <c r="F6" s="67">
        <v>14226</v>
      </c>
      <c r="G6" s="67">
        <v>9724</v>
      </c>
      <c r="H6" s="67">
        <v>5776</v>
      </c>
      <c r="I6" s="67">
        <v>2982</v>
      </c>
      <c r="J6" s="67">
        <v>592</v>
      </c>
      <c r="K6" s="67">
        <v>41</v>
      </c>
      <c r="L6" s="67">
        <v>791</v>
      </c>
    </row>
    <row r="7" spans="1:12">
      <c r="B7" s="16" t="s">
        <v>1516</v>
      </c>
      <c r="C7" s="67">
        <f t="shared" si="1"/>
        <v>256241</v>
      </c>
      <c r="D7" s="67">
        <v>96045</v>
      </c>
      <c r="E7" s="67">
        <v>143764</v>
      </c>
      <c r="F7" s="67">
        <v>6640</v>
      </c>
      <c r="G7" s="67">
        <v>2869</v>
      </c>
      <c r="H7" s="67">
        <v>4544</v>
      </c>
      <c r="I7" s="67">
        <v>1445</v>
      </c>
      <c r="J7" s="67">
        <v>261</v>
      </c>
      <c r="K7" s="67">
        <v>17</v>
      </c>
      <c r="L7" s="67">
        <v>656</v>
      </c>
    </row>
    <row r="8" spans="1:12">
      <c r="B8" s="16" t="s">
        <v>1517</v>
      </c>
      <c r="C8" s="67">
        <f t="shared" si="1"/>
        <v>221783</v>
      </c>
      <c r="D8" s="67">
        <v>86241</v>
      </c>
      <c r="E8" s="67">
        <v>108933</v>
      </c>
      <c r="F8" s="67">
        <v>13050</v>
      </c>
      <c r="G8" s="67">
        <v>5317</v>
      </c>
      <c r="H8" s="67">
        <v>5169</v>
      </c>
      <c r="I8" s="67">
        <v>2029</v>
      </c>
      <c r="J8" s="67">
        <v>623</v>
      </c>
      <c r="K8" s="67">
        <v>19</v>
      </c>
      <c r="L8" s="67">
        <v>402</v>
      </c>
    </row>
    <row r="9" spans="1:12">
      <c r="B9" s="16" t="s">
        <v>1518</v>
      </c>
      <c r="C9" s="67">
        <f t="shared" si="1"/>
        <v>136197</v>
      </c>
      <c r="D9" s="67">
        <v>52856</v>
      </c>
      <c r="E9" s="67">
        <v>72706</v>
      </c>
      <c r="F9" s="67">
        <v>3607</v>
      </c>
      <c r="G9" s="67">
        <v>1849</v>
      </c>
      <c r="H9" s="67">
        <v>3894</v>
      </c>
      <c r="I9" s="67">
        <v>779</v>
      </c>
      <c r="J9" s="67">
        <v>95</v>
      </c>
      <c r="K9" s="67">
        <v>0</v>
      </c>
      <c r="L9" s="67">
        <v>411</v>
      </c>
    </row>
    <row r="10" spans="1:12">
      <c r="B10" s="16" t="s">
        <v>1519</v>
      </c>
      <c r="C10" s="67">
        <f t="shared" si="1"/>
        <v>131054</v>
      </c>
      <c r="D10" s="67">
        <v>46540</v>
      </c>
      <c r="E10" s="67">
        <v>73591</v>
      </c>
      <c r="F10" s="67">
        <v>4342</v>
      </c>
      <c r="G10" s="67">
        <v>2348</v>
      </c>
      <c r="H10" s="67">
        <v>2973</v>
      </c>
      <c r="I10" s="67">
        <v>904</v>
      </c>
      <c r="J10" s="67">
        <v>106</v>
      </c>
      <c r="K10" s="67">
        <v>8</v>
      </c>
      <c r="L10" s="67">
        <v>242</v>
      </c>
    </row>
    <row r="11" spans="1:12">
      <c r="B11" s="16" t="s">
        <v>1520</v>
      </c>
      <c r="C11" s="67">
        <f t="shared" si="1"/>
        <v>137107</v>
      </c>
      <c r="D11" s="67">
        <v>65392</v>
      </c>
      <c r="E11" s="67">
        <v>63151</v>
      </c>
      <c r="F11" s="67">
        <v>3002</v>
      </c>
      <c r="G11" s="67">
        <v>2263</v>
      </c>
      <c r="H11" s="67">
        <v>2153</v>
      </c>
      <c r="I11" s="67">
        <v>695</v>
      </c>
      <c r="J11" s="67">
        <v>141</v>
      </c>
      <c r="K11" s="67">
        <v>2</v>
      </c>
      <c r="L11" s="67">
        <v>308</v>
      </c>
    </row>
    <row r="12" spans="1:12">
      <c r="B12" s="16" t="s">
        <v>1521</v>
      </c>
      <c r="C12" s="67">
        <f t="shared" si="1"/>
        <v>35383</v>
      </c>
      <c r="D12" s="67">
        <v>24080</v>
      </c>
      <c r="E12" s="67">
        <v>8638</v>
      </c>
      <c r="F12" s="67">
        <v>321</v>
      </c>
      <c r="G12" s="67">
        <v>528</v>
      </c>
      <c r="H12" s="67">
        <v>1005</v>
      </c>
      <c r="I12" s="67">
        <v>632</v>
      </c>
      <c r="J12" s="67">
        <v>46</v>
      </c>
      <c r="K12" s="67">
        <v>0</v>
      </c>
      <c r="L12" s="67">
        <v>133</v>
      </c>
    </row>
    <row r="13" spans="1:12">
      <c r="B13" s="16" t="s">
        <v>1522</v>
      </c>
      <c r="C13" s="67">
        <f t="shared" si="1"/>
        <v>1265969</v>
      </c>
      <c r="D13" s="67">
        <v>639107</v>
      </c>
      <c r="E13" s="67">
        <v>524276</v>
      </c>
      <c r="F13" s="67">
        <v>40150</v>
      </c>
      <c r="G13" s="67">
        <v>18458</v>
      </c>
      <c r="H13" s="67">
        <v>28532</v>
      </c>
      <c r="I13" s="67">
        <v>10021</v>
      </c>
      <c r="J13" s="67">
        <v>1080</v>
      </c>
      <c r="K13" s="67">
        <v>19</v>
      </c>
      <c r="L13" s="67">
        <v>4326</v>
      </c>
    </row>
    <row r="14" spans="1:12">
      <c r="B14" s="16" t="s">
        <v>1523</v>
      </c>
      <c r="C14" s="67">
        <f t="shared" si="1"/>
        <v>437539</v>
      </c>
      <c r="D14" s="67">
        <v>314881</v>
      </c>
      <c r="E14" s="67">
        <v>112376</v>
      </c>
      <c r="F14" s="67">
        <v>3781</v>
      </c>
      <c r="G14" s="67">
        <v>1949</v>
      </c>
      <c r="H14" s="67">
        <v>3343</v>
      </c>
      <c r="I14" s="67">
        <v>414</v>
      </c>
      <c r="J14" s="67">
        <v>60</v>
      </c>
      <c r="K14" s="67">
        <v>0</v>
      </c>
      <c r="L14" s="67">
        <v>735</v>
      </c>
    </row>
    <row r="15" spans="1:12">
      <c r="B15" s="16" t="s">
        <v>1524</v>
      </c>
      <c r="C15" s="67">
        <f t="shared" si="1"/>
        <v>407286</v>
      </c>
      <c r="D15" s="67">
        <v>294196</v>
      </c>
      <c r="E15" s="67">
        <v>103345</v>
      </c>
      <c r="F15" s="67">
        <v>3424</v>
      </c>
      <c r="G15" s="67">
        <v>1859</v>
      </c>
      <c r="H15" s="67">
        <v>3088</v>
      </c>
      <c r="I15" s="67">
        <v>788</v>
      </c>
      <c r="J15" s="67">
        <v>64</v>
      </c>
      <c r="K15" s="67">
        <v>0</v>
      </c>
      <c r="L15" s="67">
        <v>522</v>
      </c>
    </row>
    <row r="16" spans="1:12">
      <c r="B16" s="16" t="s">
        <v>1525</v>
      </c>
      <c r="C16" s="67">
        <f t="shared" si="1"/>
        <v>564466</v>
      </c>
      <c r="D16" s="67">
        <v>434627</v>
      </c>
      <c r="E16" s="67">
        <v>114185</v>
      </c>
      <c r="F16" s="67">
        <v>4456</v>
      </c>
      <c r="G16" s="67">
        <v>2461</v>
      </c>
      <c r="H16" s="67">
        <v>4254</v>
      </c>
      <c r="I16" s="67">
        <v>1236</v>
      </c>
      <c r="J16" s="67">
        <v>134</v>
      </c>
      <c r="K16" s="67">
        <v>1</v>
      </c>
      <c r="L16" s="67">
        <v>3112</v>
      </c>
    </row>
    <row r="17" spans="2:12">
      <c r="B17" s="16" t="s">
        <v>1549</v>
      </c>
      <c r="C17" s="67">
        <f t="shared" si="1"/>
        <v>463883</v>
      </c>
      <c r="D17" s="67">
        <v>362280</v>
      </c>
      <c r="E17" s="67">
        <v>90659</v>
      </c>
      <c r="F17" s="67">
        <v>3508</v>
      </c>
      <c r="G17" s="67">
        <v>1874</v>
      </c>
      <c r="H17" s="67">
        <v>3569</v>
      </c>
      <c r="I17" s="67">
        <v>524</v>
      </c>
      <c r="J17" s="67">
        <v>49</v>
      </c>
      <c r="K17" s="67">
        <v>0</v>
      </c>
      <c r="L17" s="67">
        <v>1420</v>
      </c>
    </row>
    <row r="18" spans="2:12">
      <c r="B18" s="16" t="s">
        <v>1526</v>
      </c>
      <c r="C18" s="67">
        <f t="shared" si="1"/>
        <v>664511</v>
      </c>
      <c r="D18" s="67">
        <v>554038</v>
      </c>
      <c r="E18" s="67">
        <v>100465</v>
      </c>
      <c r="F18" s="67">
        <v>3054</v>
      </c>
      <c r="G18" s="67">
        <v>2026</v>
      </c>
      <c r="H18" s="67">
        <v>3520</v>
      </c>
      <c r="I18" s="67">
        <v>529</v>
      </c>
      <c r="J18" s="67">
        <v>18</v>
      </c>
      <c r="K18" s="67">
        <v>0</v>
      </c>
      <c r="L18" s="67">
        <v>861</v>
      </c>
    </row>
    <row r="19" spans="2:12">
      <c r="B19" s="16" t="s">
        <v>1527</v>
      </c>
      <c r="C19" s="67">
        <f t="shared" si="1"/>
        <v>824988</v>
      </c>
      <c r="D19" s="67">
        <v>648410</v>
      </c>
      <c r="E19" s="67">
        <v>161614</v>
      </c>
      <c r="F19" s="67">
        <v>6000</v>
      </c>
      <c r="G19" s="67">
        <v>2887</v>
      </c>
      <c r="H19" s="67">
        <v>3841</v>
      </c>
      <c r="I19" s="67">
        <v>988</v>
      </c>
      <c r="J19" s="67">
        <v>119</v>
      </c>
      <c r="K19" s="67">
        <v>0</v>
      </c>
      <c r="L19" s="67">
        <v>1129</v>
      </c>
    </row>
    <row r="20" spans="2:12">
      <c r="B20" s="16" t="s">
        <v>983</v>
      </c>
      <c r="C20" s="67">
        <f t="shared" si="1"/>
        <v>727299</v>
      </c>
      <c r="D20" s="67">
        <v>509322</v>
      </c>
      <c r="E20" s="67">
        <v>195213</v>
      </c>
      <c r="F20" s="67">
        <v>7411</v>
      </c>
      <c r="G20" s="67">
        <v>4846</v>
      </c>
      <c r="H20" s="67">
        <v>6250</v>
      </c>
      <c r="I20" s="67">
        <v>2034</v>
      </c>
      <c r="J20" s="67">
        <v>241</v>
      </c>
      <c r="K20" s="67">
        <v>1</v>
      </c>
      <c r="L20" s="67">
        <v>1981</v>
      </c>
    </row>
    <row r="21" spans="2:12">
      <c r="B21" s="16" t="s">
        <v>1528</v>
      </c>
      <c r="C21" s="67">
        <f t="shared" si="1"/>
        <v>189336</v>
      </c>
      <c r="D21" s="67">
        <v>122561</v>
      </c>
      <c r="E21" s="67">
        <v>61355</v>
      </c>
      <c r="F21" s="67">
        <v>2176</v>
      </c>
      <c r="G21" s="67">
        <v>2139</v>
      </c>
      <c r="H21" s="67">
        <v>531</v>
      </c>
      <c r="I21" s="67">
        <v>1</v>
      </c>
      <c r="J21" s="67">
        <v>1</v>
      </c>
      <c r="K21" s="67">
        <v>0</v>
      </c>
      <c r="L21" s="67">
        <v>572</v>
      </c>
    </row>
    <row r="22" spans="2:12">
      <c r="B22" s="35"/>
    </row>
    <row r="23" spans="2:12">
      <c r="B23" s="48"/>
    </row>
    <row r="24" spans="2:12">
      <c r="B24" s="48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1"/>
  <sheetViews>
    <sheetView zoomScaleNormal="100" workbookViewId="0">
      <selection activeCell="B1" sqref="B1"/>
    </sheetView>
  </sheetViews>
  <sheetFormatPr defaultRowHeight="16.5"/>
  <cols>
    <col min="1" max="1" width="2.625" style="10" customWidth="1"/>
    <col min="2" max="2" width="15.375" bestFit="1" customWidth="1"/>
    <col min="3" max="11" width="17.375" customWidth="1"/>
    <col min="12" max="12" width="8.375" bestFit="1" customWidth="1"/>
  </cols>
  <sheetData>
    <row r="1" spans="1:11" s="18" customFormat="1" ht="30" customHeight="1">
      <c r="A1" s="9" t="s">
        <v>1557</v>
      </c>
      <c r="B1" s="7"/>
      <c r="C1" s="7"/>
      <c r="G1" s="39"/>
    </row>
    <row r="2" spans="1:11" s="18" customFormat="1" ht="18" customHeight="1">
      <c r="A2" s="10"/>
      <c r="B2" s="34"/>
      <c r="G2" s="39"/>
      <c r="K2" s="11" t="s">
        <v>1542</v>
      </c>
    </row>
    <row r="3" spans="1:11">
      <c r="B3" s="99" t="s">
        <v>1429</v>
      </c>
      <c r="C3" s="99" t="s">
        <v>1430</v>
      </c>
      <c r="D3" s="99" t="s">
        <v>1445</v>
      </c>
      <c r="E3" s="99" t="s">
        <v>1446</v>
      </c>
      <c r="F3" s="99" t="s">
        <v>1447</v>
      </c>
      <c r="G3" s="99" t="s">
        <v>1448</v>
      </c>
      <c r="H3" s="99" t="s">
        <v>1449</v>
      </c>
      <c r="I3" s="99" t="s">
        <v>1450</v>
      </c>
      <c r="J3" s="99" t="s">
        <v>1451</v>
      </c>
      <c r="K3" s="99" t="s">
        <v>1452</v>
      </c>
    </row>
    <row r="4" spans="1:11">
      <c r="B4" s="69" t="s">
        <v>1430</v>
      </c>
      <c r="C4" s="70">
        <f>SUM(D4:K4)</f>
        <v>7391084</v>
      </c>
      <c r="D4" s="70">
        <f>SUM(D5:D21)</f>
        <v>3226235</v>
      </c>
      <c r="E4" s="70">
        <f t="shared" ref="E4:K4" si="0">SUM(E5:E21)</f>
        <v>1661448</v>
      </c>
      <c r="F4" s="70">
        <f t="shared" si="0"/>
        <v>549368</v>
      </c>
      <c r="G4" s="70">
        <f t="shared" si="0"/>
        <v>811343</v>
      </c>
      <c r="H4" s="70">
        <f t="shared" si="0"/>
        <v>598013</v>
      </c>
      <c r="I4" s="70">
        <f t="shared" si="0"/>
        <v>301934</v>
      </c>
      <c r="J4" s="70">
        <f t="shared" si="0"/>
        <v>172921</v>
      </c>
      <c r="K4" s="70">
        <f t="shared" si="0"/>
        <v>69822</v>
      </c>
    </row>
    <row r="5" spans="1:11">
      <c r="B5" s="69" t="s">
        <v>1341</v>
      </c>
      <c r="C5" s="70">
        <f t="shared" ref="C5:C21" si="1">SUM(D5:K5)</f>
        <v>579408</v>
      </c>
      <c r="D5" s="70">
        <v>102441</v>
      </c>
      <c r="E5" s="70">
        <v>116806</v>
      </c>
      <c r="F5" s="70">
        <v>89734</v>
      </c>
      <c r="G5" s="70">
        <v>103060</v>
      </c>
      <c r="H5" s="70">
        <v>96458</v>
      </c>
      <c r="I5" s="70">
        <v>36986</v>
      </c>
      <c r="J5" s="70">
        <v>22733</v>
      </c>
      <c r="K5" s="70">
        <v>11190</v>
      </c>
    </row>
    <row r="6" spans="1:11">
      <c r="B6" s="69" t="s">
        <v>1343</v>
      </c>
      <c r="C6" s="70">
        <f t="shared" si="1"/>
        <v>348634</v>
      </c>
      <c r="D6" s="70">
        <v>142690</v>
      </c>
      <c r="E6" s="70">
        <v>90136</v>
      </c>
      <c r="F6" s="70">
        <v>22710</v>
      </c>
      <c r="G6" s="70">
        <v>34084</v>
      </c>
      <c r="H6" s="70">
        <v>27801</v>
      </c>
      <c r="I6" s="70">
        <v>16215</v>
      </c>
      <c r="J6" s="70">
        <v>9700</v>
      </c>
      <c r="K6" s="70">
        <v>5298</v>
      </c>
    </row>
    <row r="7" spans="1:11">
      <c r="B7" s="69" t="s">
        <v>1386</v>
      </c>
      <c r="C7" s="70">
        <f t="shared" si="1"/>
        <v>256241</v>
      </c>
      <c r="D7" s="70">
        <v>77957</v>
      </c>
      <c r="E7" s="70">
        <v>69983</v>
      </c>
      <c r="F7" s="70">
        <v>23473</v>
      </c>
      <c r="G7" s="70">
        <v>39901</v>
      </c>
      <c r="H7" s="70">
        <v>22710</v>
      </c>
      <c r="I7" s="70">
        <v>11305</v>
      </c>
      <c r="J7" s="70">
        <v>7412</v>
      </c>
      <c r="K7" s="70">
        <v>3500</v>
      </c>
    </row>
    <row r="8" spans="1:11">
      <c r="B8" s="69" t="s">
        <v>1357</v>
      </c>
      <c r="C8" s="70">
        <f t="shared" si="1"/>
        <v>221783</v>
      </c>
      <c r="D8" s="70">
        <v>66212</v>
      </c>
      <c r="E8" s="70">
        <v>43439</v>
      </c>
      <c r="F8" s="70">
        <v>20079</v>
      </c>
      <c r="G8" s="70">
        <v>34570</v>
      </c>
      <c r="H8" s="70">
        <v>29602</v>
      </c>
      <c r="I8" s="70">
        <v>13437</v>
      </c>
      <c r="J8" s="70">
        <v>9793</v>
      </c>
      <c r="K8" s="70">
        <v>4651</v>
      </c>
    </row>
    <row r="9" spans="1:11">
      <c r="B9" s="69" t="s">
        <v>1431</v>
      </c>
      <c r="C9" s="70">
        <f t="shared" si="1"/>
        <v>136197</v>
      </c>
      <c r="D9" s="70">
        <v>43873</v>
      </c>
      <c r="E9" s="70">
        <v>39609</v>
      </c>
      <c r="F9" s="70">
        <v>9104</v>
      </c>
      <c r="G9" s="70">
        <v>18196</v>
      </c>
      <c r="H9" s="70">
        <v>11086</v>
      </c>
      <c r="I9" s="70">
        <v>6573</v>
      </c>
      <c r="J9" s="70">
        <v>5515</v>
      </c>
      <c r="K9" s="70">
        <v>2241</v>
      </c>
    </row>
    <row r="10" spans="1:11">
      <c r="B10" s="69" t="s">
        <v>1417</v>
      </c>
      <c r="C10" s="70">
        <f t="shared" si="1"/>
        <v>131054</v>
      </c>
      <c r="D10" s="70">
        <v>37558</v>
      </c>
      <c r="E10" s="70">
        <v>32455</v>
      </c>
      <c r="F10" s="70">
        <v>10166</v>
      </c>
      <c r="G10" s="70">
        <v>23443</v>
      </c>
      <c r="H10" s="70">
        <v>14299</v>
      </c>
      <c r="I10" s="70">
        <v>5999</v>
      </c>
      <c r="J10" s="70">
        <v>4648</v>
      </c>
      <c r="K10" s="70">
        <v>2486</v>
      </c>
    </row>
    <row r="11" spans="1:11">
      <c r="B11" s="69" t="s">
        <v>1397</v>
      </c>
      <c r="C11" s="70">
        <f t="shared" si="1"/>
        <v>137107</v>
      </c>
      <c r="D11" s="70">
        <v>46899</v>
      </c>
      <c r="E11" s="70">
        <v>32979</v>
      </c>
      <c r="F11" s="70">
        <v>11565</v>
      </c>
      <c r="G11" s="70">
        <v>20891</v>
      </c>
      <c r="H11" s="70">
        <v>12128</v>
      </c>
      <c r="I11" s="70">
        <v>6709</v>
      </c>
      <c r="J11" s="70">
        <v>4116</v>
      </c>
      <c r="K11" s="70">
        <v>1820</v>
      </c>
    </row>
    <row r="12" spans="1:11">
      <c r="B12" s="69" t="s">
        <v>1432</v>
      </c>
      <c r="C12" s="70">
        <f t="shared" si="1"/>
        <v>35383</v>
      </c>
      <c r="D12" s="70">
        <v>15199</v>
      </c>
      <c r="E12" s="70">
        <v>8536</v>
      </c>
      <c r="F12" s="70">
        <v>2274</v>
      </c>
      <c r="G12" s="70">
        <v>3257</v>
      </c>
      <c r="H12" s="70">
        <v>2163</v>
      </c>
      <c r="I12" s="70">
        <v>1309</v>
      </c>
      <c r="J12" s="70">
        <v>1972</v>
      </c>
      <c r="K12" s="70">
        <v>673</v>
      </c>
    </row>
    <row r="13" spans="1:11">
      <c r="B13" s="69" t="s">
        <v>1359</v>
      </c>
      <c r="C13" s="70">
        <f t="shared" si="1"/>
        <v>1265969</v>
      </c>
      <c r="D13" s="70">
        <v>320040</v>
      </c>
      <c r="E13" s="70">
        <v>339844</v>
      </c>
      <c r="F13" s="70">
        <v>121954</v>
      </c>
      <c r="G13" s="70">
        <v>197091</v>
      </c>
      <c r="H13" s="70">
        <v>154900</v>
      </c>
      <c r="I13" s="70">
        <v>64402</v>
      </c>
      <c r="J13" s="70">
        <v>47331</v>
      </c>
      <c r="K13" s="70">
        <v>20407</v>
      </c>
    </row>
    <row r="14" spans="1:11">
      <c r="B14" s="69" t="s">
        <v>1433</v>
      </c>
      <c r="C14" s="70">
        <f t="shared" si="1"/>
        <v>437539</v>
      </c>
      <c r="D14" s="70">
        <v>240868</v>
      </c>
      <c r="E14" s="70">
        <v>96440</v>
      </c>
      <c r="F14" s="70">
        <v>26131</v>
      </c>
      <c r="G14" s="70">
        <v>33625</v>
      </c>
      <c r="H14" s="70">
        <v>20697</v>
      </c>
      <c r="I14" s="70">
        <v>12212</v>
      </c>
      <c r="J14" s="70">
        <v>5954</v>
      </c>
      <c r="K14" s="70">
        <v>1612</v>
      </c>
    </row>
    <row r="15" spans="1:11">
      <c r="B15" s="69" t="s">
        <v>1434</v>
      </c>
      <c r="C15" s="70">
        <f t="shared" si="1"/>
        <v>407286</v>
      </c>
      <c r="D15" s="70">
        <v>198602</v>
      </c>
      <c r="E15" s="70">
        <v>97305</v>
      </c>
      <c r="F15" s="70">
        <v>25865</v>
      </c>
      <c r="G15" s="70">
        <v>37702</v>
      </c>
      <c r="H15" s="70">
        <v>24910</v>
      </c>
      <c r="I15" s="70">
        <v>14102</v>
      </c>
      <c r="J15" s="70">
        <v>6813</v>
      </c>
      <c r="K15" s="70">
        <v>1987</v>
      </c>
    </row>
    <row r="16" spans="1:11">
      <c r="B16" s="69" t="s">
        <v>1361</v>
      </c>
      <c r="C16" s="70">
        <f t="shared" si="1"/>
        <v>564466</v>
      </c>
      <c r="D16" s="70">
        <v>293708</v>
      </c>
      <c r="E16" s="70">
        <v>124671</v>
      </c>
      <c r="F16" s="70">
        <v>32460</v>
      </c>
      <c r="G16" s="70">
        <v>45560</v>
      </c>
      <c r="H16" s="70">
        <v>35761</v>
      </c>
      <c r="I16" s="70">
        <v>20426</v>
      </c>
      <c r="J16" s="70">
        <v>9089</v>
      </c>
      <c r="K16" s="70">
        <v>2791</v>
      </c>
    </row>
    <row r="17" spans="2:11">
      <c r="B17" s="16" t="s">
        <v>1549</v>
      </c>
      <c r="C17" s="70">
        <f t="shared" si="1"/>
        <v>463883</v>
      </c>
      <c r="D17" s="70">
        <v>252032</v>
      </c>
      <c r="E17" s="70">
        <v>95292</v>
      </c>
      <c r="F17" s="70">
        <v>26312</v>
      </c>
      <c r="G17" s="70">
        <v>36612</v>
      </c>
      <c r="H17" s="70">
        <v>26702</v>
      </c>
      <c r="I17" s="70">
        <v>18195</v>
      </c>
      <c r="J17" s="70">
        <v>6575</v>
      </c>
      <c r="K17" s="70">
        <v>2163</v>
      </c>
    </row>
    <row r="18" spans="2:11">
      <c r="B18" s="69" t="s">
        <v>1435</v>
      </c>
      <c r="C18" s="70">
        <f t="shared" si="1"/>
        <v>664511</v>
      </c>
      <c r="D18" s="70">
        <v>417675</v>
      </c>
      <c r="E18" s="70">
        <v>124694</v>
      </c>
      <c r="F18" s="70">
        <v>29159</v>
      </c>
      <c r="G18" s="70">
        <v>39899</v>
      </c>
      <c r="H18" s="70">
        <v>24807</v>
      </c>
      <c r="I18" s="70">
        <v>19899</v>
      </c>
      <c r="J18" s="70">
        <v>6616</v>
      </c>
      <c r="K18" s="70">
        <v>1762</v>
      </c>
    </row>
    <row r="19" spans="2:11">
      <c r="B19" s="69" t="s">
        <v>1436</v>
      </c>
      <c r="C19" s="70">
        <f t="shared" si="1"/>
        <v>824988</v>
      </c>
      <c r="D19" s="70">
        <v>474293</v>
      </c>
      <c r="E19" s="70">
        <v>159821</v>
      </c>
      <c r="F19" s="70">
        <v>42171</v>
      </c>
      <c r="G19" s="70">
        <v>64893</v>
      </c>
      <c r="H19" s="70">
        <v>46402</v>
      </c>
      <c r="I19" s="70">
        <v>25206</v>
      </c>
      <c r="J19" s="70">
        <v>9196</v>
      </c>
      <c r="K19" s="70">
        <v>3006</v>
      </c>
    </row>
    <row r="20" spans="2:11">
      <c r="B20" s="69" t="s">
        <v>1393</v>
      </c>
      <c r="C20" s="70">
        <f t="shared" si="1"/>
        <v>727299</v>
      </c>
      <c r="D20" s="70">
        <v>394578</v>
      </c>
      <c r="E20" s="70">
        <v>147941</v>
      </c>
      <c r="F20" s="70">
        <v>44718</v>
      </c>
      <c r="G20" s="70">
        <v>63714</v>
      </c>
      <c r="H20" s="70">
        <v>36138</v>
      </c>
      <c r="I20" s="70">
        <v>23127</v>
      </c>
      <c r="J20" s="70">
        <v>13151</v>
      </c>
      <c r="K20" s="70">
        <v>3932</v>
      </c>
    </row>
    <row r="21" spans="2:11">
      <c r="B21" s="69" t="s">
        <v>1437</v>
      </c>
      <c r="C21" s="70">
        <f t="shared" si="1"/>
        <v>189336</v>
      </c>
      <c r="D21" s="70">
        <v>101610</v>
      </c>
      <c r="E21" s="70">
        <v>41497</v>
      </c>
      <c r="F21" s="70">
        <v>11493</v>
      </c>
      <c r="G21" s="70">
        <v>14845</v>
      </c>
      <c r="H21" s="70">
        <v>11449</v>
      </c>
      <c r="I21" s="70">
        <v>5832</v>
      </c>
      <c r="J21" s="70">
        <v>2307</v>
      </c>
      <c r="K21" s="70">
        <v>303</v>
      </c>
    </row>
  </sheetData>
  <phoneticPr fontId="3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0"/>
  <sheetViews>
    <sheetView zoomScaleNormal="100" workbookViewId="0">
      <selection activeCell="B1" sqref="B1"/>
    </sheetView>
  </sheetViews>
  <sheetFormatPr defaultRowHeight="16.5"/>
  <cols>
    <col min="1" max="1" width="2.625" style="10" customWidth="1"/>
    <col min="2" max="2" width="16.375" bestFit="1" customWidth="1"/>
    <col min="3" max="12" width="15.5" customWidth="1"/>
    <col min="13" max="13" width="16.625" bestFit="1" customWidth="1"/>
    <col min="15" max="15" width="11.625" bestFit="1" customWidth="1"/>
    <col min="16" max="16" width="13.125" bestFit="1" customWidth="1"/>
  </cols>
  <sheetData>
    <row r="1" spans="1:16" s="18" customFormat="1" ht="30" customHeight="1">
      <c r="A1" s="9" t="s">
        <v>1558</v>
      </c>
      <c r="B1" s="7"/>
      <c r="C1" s="7"/>
      <c r="G1" s="39"/>
    </row>
    <row r="2" spans="1:16">
      <c r="B2" s="53"/>
      <c r="C2" s="54"/>
      <c r="D2" s="54"/>
      <c r="E2" s="54"/>
      <c r="F2" s="54"/>
      <c r="G2" s="54"/>
      <c r="H2" s="54"/>
      <c r="I2" s="54"/>
      <c r="J2" s="54"/>
      <c r="K2" s="1"/>
      <c r="L2" s="106" t="s">
        <v>1438</v>
      </c>
    </row>
    <row r="3" spans="1:16">
      <c r="B3" s="126" t="s">
        <v>1439</v>
      </c>
      <c r="C3" s="126" t="s">
        <v>1430</v>
      </c>
      <c r="D3" s="126"/>
      <c r="E3" s="126" t="s">
        <v>1440</v>
      </c>
      <c r="F3" s="126"/>
      <c r="G3" s="126" t="s">
        <v>1441</v>
      </c>
      <c r="H3" s="126"/>
      <c r="I3" s="126" t="s">
        <v>1442</v>
      </c>
      <c r="J3" s="126"/>
      <c r="K3" s="126" t="s">
        <v>865</v>
      </c>
      <c r="L3" s="126"/>
    </row>
    <row r="4" spans="1:16">
      <c r="B4" s="126"/>
      <c r="C4" s="100" t="s">
        <v>1443</v>
      </c>
      <c r="D4" s="101" t="s">
        <v>1444</v>
      </c>
      <c r="E4" s="100" t="s">
        <v>1443</v>
      </c>
      <c r="F4" s="101" t="s">
        <v>1444</v>
      </c>
      <c r="G4" s="100" t="s">
        <v>1443</v>
      </c>
      <c r="H4" s="101" t="s">
        <v>1444</v>
      </c>
      <c r="I4" s="100" t="s">
        <v>1443</v>
      </c>
      <c r="J4" s="101" t="s">
        <v>1444</v>
      </c>
      <c r="K4" s="100" t="s">
        <v>1443</v>
      </c>
      <c r="L4" s="101" t="s">
        <v>1444</v>
      </c>
    </row>
    <row r="5" spans="1:16">
      <c r="B5" s="102" t="s">
        <v>885</v>
      </c>
      <c r="C5" s="103">
        <f>SUM(E5,G5,I5,K5)</f>
        <v>7391084.0099999998</v>
      </c>
      <c r="D5" s="103">
        <f>SUM(F5,H5,J5,L5)</f>
        <v>4227660684.3000002</v>
      </c>
      <c r="E5" s="103">
        <v>5715562.2300000004</v>
      </c>
      <c r="F5" s="103">
        <v>1136089057.9000001</v>
      </c>
      <c r="G5" s="103">
        <v>577321.43999999994</v>
      </c>
      <c r="H5" s="103">
        <v>774893420.79999995</v>
      </c>
      <c r="I5" s="103">
        <v>237091.28</v>
      </c>
      <c r="J5" s="103">
        <v>241655134.63999999</v>
      </c>
      <c r="K5" s="103">
        <v>861109.06</v>
      </c>
      <c r="L5" s="103">
        <v>2075023070.96</v>
      </c>
    </row>
    <row r="6" spans="1:16">
      <c r="B6" s="102" t="s">
        <v>1341</v>
      </c>
      <c r="C6" s="103">
        <f>SUM(E6,G6,I6,K6)</f>
        <v>579408</v>
      </c>
      <c r="D6" s="103">
        <f t="shared" ref="D6:D22" si="0">SUM(F6,H6,J6,L6)</f>
        <v>594223316.70000005</v>
      </c>
      <c r="E6" s="103">
        <v>378995.1</v>
      </c>
      <c r="F6" s="104">
        <v>115114518.77</v>
      </c>
      <c r="G6" s="103">
        <v>29681.67</v>
      </c>
      <c r="H6" s="104">
        <v>84450374.459999993</v>
      </c>
      <c r="I6" s="103">
        <v>12457.37</v>
      </c>
      <c r="J6" s="104">
        <v>26664572.09</v>
      </c>
      <c r="K6" s="103">
        <v>158273.85999999999</v>
      </c>
      <c r="L6" s="105">
        <v>367993851.38</v>
      </c>
      <c r="M6" s="1"/>
    </row>
    <row r="7" spans="1:16">
      <c r="B7" s="102" t="s">
        <v>1343</v>
      </c>
      <c r="C7" s="103">
        <f t="shared" ref="C7:C22" si="1">SUM(E7,G7,I7,K7)</f>
        <v>348634</v>
      </c>
      <c r="D7" s="103">
        <f t="shared" si="0"/>
        <v>255841080.20999998</v>
      </c>
      <c r="E7" s="103">
        <v>264820.49</v>
      </c>
      <c r="F7" s="104">
        <v>49384479.229999997</v>
      </c>
      <c r="G7" s="103">
        <v>27202.25</v>
      </c>
      <c r="H7" s="104">
        <v>39800926.359999999</v>
      </c>
      <c r="I7" s="103">
        <v>9372.44</v>
      </c>
      <c r="J7" s="104">
        <v>15527711.890000001</v>
      </c>
      <c r="K7" s="103">
        <v>47238.82</v>
      </c>
      <c r="L7" s="105">
        <v>151127962.72999999</v>
      </c>
      <c r="M7" s="1"/>
    </row>
    <row r="8" spans="1:16">
      <c r="B8" s="102" t="s">
        <v>1386</v>
      </c>
      <c r="C8" s="103">
        <f t="shared" si="1"/>
        <v>256240.99000000002</v>
      </c>
      <c r="D8" s="103">
        <f t="shared" si="0"/>
        <v>181440260.67000002</v>
      </c>
      <c r="E8" s="103">
        <v>205100.95</v>
      </c>
      <c r="F8" s="104">
        <v>50592897.140000001</v>
      </c>
      <c r="G8" s="103">
        <v>17304.2</v>
      </c>
      <c r="H8" s="104">
        <v>25976750.649999999</v>
      </c>
      <c r="I8" s="103">
        <v>5699.33</v>
      </c>
      <c r="J8" s="104">
        <v>12168314.619999999</v>
      </c>
      <c r="K8" s="103">
        <v>28136.51</v>
      </c>
      <c r="L8" s="105">
        <v>92702298.260000005</v>
      </c>
      <c r="M8" s="1"/>
    </row>
    <row r="9" spans="1:16">
      <c r="B9" s="102" t="s">
        <v>1357</v>
      </c>
      <c r="C9" s="103">
        <f t="shared" si="1"/>
        <v>221783.00000000003</v>
      </c>
      <c r="D9" s="103">
        <f t="shared" si="0"/>
        <v>223037992.90000004</v>
      </c>
      <c r="E9" s="103">
        <v>141101.78</v>
      </c>
      <c r="F9" s="104">
        <v>36222739.020000003</v>
      </c>
      <c r="G9" s="103">
        <v>21436.29</v>
      </c>
      <c r="H9" s="104">
        <v>40038349.159999996</v>
      </c>
      <c r="I9" s="103">
        <v>8799.92</v>
      </c>
      <c r="J9" s="104">
        <v>11075485.01</v>
      </c>
      <c r="K9" s="103">
        <v>50445.01</v>
      </c>
      <c r="L9" s="105">
        <v>135701419.71000001</v>
      </c>
    </row>
    <row r="10" spans="1:16">
      <c r="B10" s="102" t="s">
        <v>1431</v>
      </c>
      <c r="C10" s="103">
        <f t="shared" si="1"/>
        <v>136197</v>
      </c>
      <c r="D10" s="103">
        <f t="shared" si="0"/>
        <v>110111574.48</v>
      </c>
      <c r="E10" s="103">
        <v>104790.42</v>
      </c>
      <c r="F10" s="104">
        <v>23715945.539999999</v>
      </c>
      <c r="G10" s="103">
        <v>12586.37</v>
      </c>
      <c r="H10" s="104">
        <v>18972205.100000001</v>
      </c>
      <c r="I10" s="103">
        <v>3394.94</v>
      </c>
      <c r="J10" s="104">
        <v>7508607.9199999999</v>
      </c>
      <c r="K10" s="103">
        <v>15425.27</v>
      </c>
      <c r="L10" s="105">
        <v>59914815.920000002</v>
      </c>
    </row>
    <row r="11" spans="1:16">
      <c r="B11" s="102" t="s">
        <v>1417</v>
      </c>
      <c r="C11" s="103">
        <f t="shared" si="1"/>
        <v>131054</v>
      </c>
      <c r="D11" s="103">
        <f t="shared" si="0"/>
        <v>116351917.3</v>
      </c>
      <c r="E11" s="103">
        <v>100455.35</v>
      </c>
      <c r="F11" s="104">
        <v>26565310.129999999</v>
      </c>
      <c r="G11" s="103">
        <v>10484.26</v>
      </c>
      <c r="H11" s="104">
        <v>20124425.469999999</v>
      </c>
      <c r="I11" s="103">
        <v>4519.78</v>
      </c>
      <c r="J11" s="104">
        <v>7919895.4800000004</v>
      </c>
      <c r="K11" s="103">
        <v>15594.61</v>
      </c>
      <c r="L11" s="105">
        <v>61742286.219999999</v>
      </c>
    </row>
    <row r="12" spans="1:16">
      <c r="B12" s="102" t="s">
        <v>1397</v>
      </c>
      <c r="C12" s="103">
        <f t="shared" si="1"/>
        <v>137107.00999999998</v>
      </c>
      <c r="D12" s="103">
        <f t="shared" si="0"/>
        <v>94810829.070000008</v>
      </c>
      <c r="E12" s="103">
        <v>97799.42</v>
      </c>
      <c r="F12" s="104">
        <v>23051925.52</v>
      </c>
      <c r="G12" s="103">
        <v>22920.2</v>
      </c>
      <c r="H12" s="104">
        <v>26917398.18</v>
      </c>
      <c r="I12" s="103">
        <v>3797.56</v>
      </c>
      <c r="J12" s="104">
        <v>4820378.59</v>
      </c>
      <c r="K12" s="103">
        <v>12589.83</v>
      </c>
      <c r="L12" s="105">
        <v>40021126.780000001</v>
      </c>
      <c r="O12" s="57"/>
      <c r="P12" s="57"/>
    </row>
    <row r="13" spans="1:16">
      <c r="B13" s="102" t="s">
        <v>1432</v>
      </c>
      <c r="C13" s="103">
        <f t="shared" si="1"/>
        <v>35383</v>
      </c>
      <c r="D13" s="103">
        <f t="shared" si="0"/>
        <v>31939699.539999999</v>
      </c>
      <c r="E13" s="103">
        <v>25551.41</v>
      </c>
      <c r="F13" s="104">
        <v>4522053.54</v>
      </c>
      <c r="G13" s="103">
        <v>3215.16</v>
      </c>
      <c r="H13" s="104">
        <v>4904749.5199999996</v>
      </c>
      <c r="I13" s="103">
        <v>1790.2</v>
      </c>
      <c r="J13" s="104">
        <v>3710417.15</v>
      </c>
      <c r="K13" s="103">
        <v>4826.2299999999996</v>
      </c>
      <c r="L13" s="105">
        <v>18802479.329999998</v>
      </c>
      <c r="O13" s="57"/>
      <c r="P13" s="57"/>
    </row>
    <row r="14" spans="1:16">
      <c r="B14" s="102" t="s">
        <v>1359</v>
      </c>
      <c r="C14" s="103">
        <f t="shared" si="1"/>
        <v>1265969</v>
      </c>
      <c r="D14" s="103">
        <f t="shared" si="0"/>
        <v>1108557371.99</v>
      </c>
      <c r="E14" s="103">
        <v>884715.86</v>
      </c>
      <c r="F14" s="104">
        <v>233243261</v>
      </c>
      <c r="G14" s="103">
        <v>136735.65</v>
      </c>
      <c r="H14" s="104">
        <v>191073773.81</v>
      </c>
      <c r="I14" s="103">
        <v>42392.13</v>
      </c>
      <c r="J14" s="104">
        <v>50128285.259999998</v>
      </c>
      <c r="K14" s="103">
        <v>202125.36</v>
      </c>
      <c r="L14" s="105">
        <v>634112051.91999996</v>
      </c>
      <c r="O14" s="57"/>
      <c r="P14" s="57"/>
    </row>
    <row r="15" spans="1:16">
      <c r="B15" s="102" t="s">
        <v>1457</v>
      </c>
      <c r="C15" s="103">
        <f t="shared" si="1"/>
        <v>437539</v>
      </c>
      <c r="D15" s="103">
        <f t="shared" si="0"/>
        <v>145835370.97</v>
      </c>
      <c r="E15" s="103">
        <v>356052.01</v>
      </c>
      <c r="F15" s="104">
        <v>54393641.630000003</v>
      </c>
      <c r="G15" s="103">
        <v>25438.03</v>
      </c>
      <c r="H15" s="104">
        <v>21128569.539999999</v>
      </c>
      <c r="I15" s="103">
        <v>27095.919999999998</v>
      </c>
      <c r="J15" s="104">
        <v>17642777.199999999</v>
      </c>
      <c r="K15" s="103">
        <v>28953.040000000001</v>
      </c>
      <c r="L15" s="105">
        <v>52670382.600000001</v>
      </c>
      <c r="O15" s="57"/>
      <c r="P15" s="57"/>
    </row>
    <row r="16" spans="1:16">
      <c r="B16" s="102" t="s">
        <v>1434</v>
      </c>
      <c r="C16" s="103">
        <f t="shared" si="1"/>
        <v>407286.00999999995</v>
      </c>
      <c r="D16" s="103">
        <f t="shared" si="0"/>
        <v>162002149.47</v>
      </c>
      <c r="E16" s="103">
        <v>329122.15999999997</v>
      </c>
      <c r="F16" s="104">
        <v>58631526.07</v>
      </c>
      <c r="G16" s="103">
        <v>35446.25</v>
      </c>
      <c r="H16" s="104">
        <v>40818539.439999998</v>
      </c>
      <c r="I16" s="103">
        <v>13543.72</v>
      </c>
      <c r="J16" s="104">
        <v>10739233.58</v>
      </c>
      <c r="K16" s="103">
        <v>29173.88</v>
      </c>
      <c r="L16" s="105">
        <v>51812850.380000003</v>
      </c>
      <c r="O16" s="57"/>
      <c r="P16" s="57"/>
    </row>
    <row r="17" spans="2:16">
      <c r="B17" s="102" t="s">
        <v>1361</v>
      </c>
      <c r="C17" s="103">
        <f t="shared" si="1"/>
        <v>564466.01</v>
      </c>
      <c r="D17" s="103">
        <f t="shared" si="0"/>
        <v>230607710.35999998</v>
      </c>
      <c r="E17" s="103">
        <v>451918.93</v>
      </c>
      <c r="F17" s="104">
        <v>79329562</v>
      </c>
      <c r="G17" s="103">
        <v>46697.49</v>
      </c>
      <c r="H17" s="104">
        <v>61575716.530000001</v>
      </c>
      <c r="I17" s="103">
        <v>16812.57</v>
      </c>
      <c r="J17" s="104">
        <v>12742550.73</v>
      </c>
      <c r="K17" s="103">
        <v>49037.02</v>
      </c>
      <c r="L17" s="105">
        <v>76959881.099999994</v>
      </c>
      <c r="O17" s="57"/>
      <c r="P17" s="57"/>
    </row>
    <row r="18" spans="2:16">
      <c r="B18" s="16" t="s">
        <v>1549</v>
      </c>
      <c r="C18" s="103">
        <f t="shared" si="1"/>
        <v>463882.99</v>
      </c>
      <c r="D18" s="103">
        <f t="shared" si="0"/>
        <v>172607854.94</v>
      </c>
      <c r="E18" s="103">
        <v>373393.06</v>
      </c>
      <c r="F18" s="104">
        <v>68412009.950000003</v>
      </c>
      <c r="G18" s="103">
        <v>32500.23</v>
      </c>
      <c r="H18" s="104">
        <v>32077397.739999998</v>
      </c>
      <c r="I18" s="103">
        <v>14717.81</v>
      </c>
      <c r="J18" s="104">
        <v>11239782.32</v>
      </c>
      <c r="K18" s="103">
        <v>43271.89</v>
      </c>
      <c r="L18" s="105">
        <v>60878664.93</v>
      </c>
      <c r="O18" s="57"/>
      <c r="P18" s="57"/>
    </row>
    <row r="19" spans="2:16">
      <c r="B19" s="102" t="s">
        <v>1435</v>
      </c>
      <c r="C19" s="103">
        <f t="shared" si="1"/>
        <v>664510.99</v>
      </c>
      <c r="D19" s="103">
        <f t="shared" si="0"/>
        <v>185386551.97</v>
      </c>
      <c r="E19" s="103">
        <v>543735.25</v>
      </c>
      <c r="F19" s="104">
        <v>80005013.180000007</v>
      </c>
      <c r="G19" s="103">
        <v>45292.49</v>
      </c>
      <c r="H19" s="104">
        <v>37281949.829999998</v>
      </c>
      <c r="I19" s="103">
        <v>25457.59</v>
      </c>
      <c r="J19" s="104">
        <v>14178065.23</v>
      </c>
      <c r="K19" s="103">
        <v>50025.66</v>
      </c>
      <c r="L19" s="105">
        <v>53921523.729999997</v>
      </c>
      <c r="O19" s="57"/>
      <c r="P19" s="57"/>
    </row>
    <row r="20" spans="2:16">
      <c r="B20" s="102" t="s">
        <v>1436</v>
      </c>
      <c r="C20" s="103">
        <f t="shared" si="1"/>
        <v>824987.99</v>
      </c>
      <c r="D20" s="103">
        <f t="shared" si="0"/>
        <v>268538300.44999999</v>
      </c>
      <c r="E20" s="103">
        <v>697859.07</v>
      </c>
      <c r="F20" s="104">
        <v>112189455.02</v>
      </c>
      <c r="G20" s="103">
        <v>54411.05</v>
      </c>
      <c r="H20" s="104">
        <v>63180293.82</v>
      </c>
      <c r="I20" s="103">
        <v>21704.76</v>
      </c>
      <c r="J20" s="104">
        <v>14387671.84</v>
      </c>
      <c r="K20" s="103">
        <v>51013.11</v>
      </c>
      <c r="L20" s="105">
        <v>78780879.769999996</v>
      </c>
      <c r="O20" s="57"/>
      <c r="P20" s="57"/>
    </row>
    <row r="21" spans="2:16">
      <c r="B21" s="102" t="s">
        <v>1393</v>
      </c>
      <c r="C21" s="103">
        <f t="shared" si="1"/>
        <v>727299.01</v>
      </c>
      <c r="D21" s="103">
        <f t="shared" si="0"/>
        <v>286954277.41000003</v>
      </c>
      <c r="E21" s="103">
        <v>608350.96</v>
      </c>
      <c r="F21" s="104">
        <v>97943661.930000007</v>
      </c>
      <c r="G21" s="103">
        <v>43500.22</v>
      </c>
      <c r="H21" s="104">
        <v>57455673.770000003</v>
      </c>
      <c r="I21" s="103">
        <v>20778.29</v>
      </c>
      <c r="J21" s="104">
        <v>17511983.399999999</v>
      </c>
      <c r="K21" s="103">
        <v>54669.54</v>
      </c>
      <c r="L21" s="105">
        <v>114042958.31</v>
      </c>
      <c r="O21" s="57"/>
      <c r="P21" s="57"/>
    </row>
    <row r="22" spans="2:16">
      <c r="B22" s="102" t="s">
        <v>1437</v>
      </c>
      <c r="C22" s="103">
        <f t="shared" si="1"/>
        <v>189336.01</v>
      </c>
      <c r="D22" s="103">
        <f t="shared" si="0"/>
        <v>59414425.869999997</v>
      </c>
      <c r="E22" s="103">
        <v>151800.01</v>
      </c>
      <c r="F22" s="104">
        <v>22771058.23</v>
      </c>
      <c r="G22" s="103">
        <v>12469.63</v>
      </c>
      <c r="H22" s="104">
        <v>9116327.4199999999</v>
      </c>
      <c r="I22" s="103">
        <v>4756.95</v>
      </c>
      <c r="J22" s="104">
        <v>3689402.33</v>
      </c>
      <c r="K22" s="103">
        <v>20309.419999999998</v>
      </c>
      <c r="L22" s="105">
        <v>23837637.890000001</v>
      </c>
      <c r="O22" s="57"/>
      <c r="P22" s="57"/>
    </row>
    <row r="23" spans="2:16">
      <c r="O23" s="57"/>
      <c r="P23" s="57"/>
    </row>
    <row r="24" spans="2:16">
      <c r="O24" s="57"/>
      <c r="P24" s="57"/>
    </row>
    <row r="25" spans="2:16">
      <c r="O25" s="57"/>
      <c r="P25" s="57"/>
    </row>
    <row r="26" spans="2:16">
      <c r="O26" s="57"/>
      <c r="P26" s="57"/>
    </row>
    <row r="27" spans="2:16">
      <c r="O27" s="57"/>
      <c r="P27" s="57"/>
    </row>
    <row r="28" spans="2:16">
      <c r="O28" s="57"/>
      <c r="P28" s="57"/>
    </row>
    <row r="29" spans="2:16">
      <c r="O29" s="57"/>
      <c r="P29" s="57"/>
    </row>
    <row r="30" spans="2:16">
      <c r="C30" s="1"/>
      <c r="D30" s="48"/>
      <c r="E30" s="48"/>
      <c r="F30" s="48"/>
      <c r="G30" s="48"/>
      <c r="H30" s="48"/>
      <c r="I30" s="48"/>
      <c r="J30" s="48"/>
      <c r="K30" s="48"/>
      <c r="L30" s="48"/>
      <c r="M30" s="48"/>
    </row>
  </sheetData>
  <mergeCells count="6">
    <mergeCell ref="K3:L3"/>
    <mergeCell ref="B3:B4"/>
    <mergeCell ref="C3:D3"/>
    <mergeCell ref="E3:F3"/>
    <mergeCell ref="G3:H3"/>
    <mergeCell ref="I3:J3"/>
  </mergeCells>
  <phoneticPr fontId="3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43"/>
  <sheetViews>
    <sheetView zoomScaleNormal="100" workbookViewId="0">
      <selection activeCell="B1" sqref="B1"/>
    </sheetView>
  </sheetViews>
  <sheetFormatPr defaultColWidth="9" defaultRowHeight="18" customHeight="1"/>
  <cols>
    <col min="1" max="1" width="2.625" style="29" customWidth="1"/>
    <col min="2" max="2" width="16.625" style="29" customWidth="1"/>
    <col min="3" max="3" width="14.625" style="29" customWidth="1"/>
    <col min="4" max="4" width="16" style="29" customWidth="1"/>
    <col min="5" max="5" width="12.625" style="29" customWidth="1"/>
    <col min="6" max="6" width="14.625" style="29" customWidth="1"/>
    <col min="7" max="7" width="12.625" style="29" customWidth="1"/>
    <col min="8" max="8" width="14.625" style="29" customWidth="1"/>
    <col min="9" max="9" width="12.625" style="29" customWidth="1"/>
    <col min="10" max="10" width="14.625" style="29" customWidth="1"/>
    <col min="11" max="11" width="12.625" style="29" customWidth="1"/>
    <col min="12" max="12" width="14.625" style="29" customWidth="1"/>
    <col min="13" max="13" width="12.625" style="29" customWidth="1"/>
    <col min="14" max="14" width="14.625" style="29" customWidth="1"/>
    <col min="15" max="15" width="12.625" style="29" customWidth="1"/>
    <col min="16" max="16" width="9" style="29"/>
    <col min="17" max="17" width="11.5" style="29" bestFit="1" customWidth="1"/>
    <col min="18" max="19" width="9" style="29"/>
    <col min="20" max="20" width="14.125" style="29" bestFit="1" customWidth="1"/>
    <col min="21" max="21" width="12.5" style="29" bestFit="1" customWidth="1"/>
    <col min="22" max="16384" width="9" style="29"/>
  </cols>
  <sheetData>
    <row r="1" spans="1:15" s="20" customFormat="1" ht="30" customHeight="1">
      <c r="A1" s="25" t="s">
        <v>1512</v>
      </c>
    </row>
    <row r="2" spans="1:15" s="20" customFormat="1" ht="18" customHeight="1">
      <c r="A2" s="26" t="s">
        <v>1455</v>
      </c>
    </row>
    <row r="3" spans="1:15" s="20" customFormat="1" ht="18" customHeight="1">
      <c r="D3" s="44"/>
      <c r="O3" s="33" t="s">
        <v>881</v>
      </c>
    </row>
    <row r="4" spans="1:15" s="20" customFormat="1" ht="18" customHeight="1">
      <c r="B4" s="127" t="s">
        <v>895</v>
      </c>
      <c r="C4" s="127" t="s">
        <v>896</v>
      </c>
      <c r="D4" s="127" t="s">
        <v>0</v>
      </c>
      <c r="E4" s="127"/>
      <c r="F4" s="127" t="s">
        <v>897</v>
      </c>
      <c r="G4" s="127"/>
      <c r="H4" s="127" t="s">
        <v>898</v>
      </c>
      <c r="I4" s="127"/>
      <c r="J4" s="127" t="s">
        <v>899</v>
      </c>
      <c r="K4" s="127"/>
      <c r="L4" s="127" t="s">
        <v>1546</v>
      </c>
      <c r="M4" s="127"/>
      <c r="N4" s="127" t="s">
        <v>900</v>
      </c>
      <c r="O4" s="127"/>
    </row>
    <row r="5" spans="1:15" s="20" customFormat="1" ht="18" customHeight="1">
      <c r="B5" s="127"/>
      <c r="C5" s="127"/>
      <c r="D5" s="107" t="s">
        <v>901</v>
      </c>
      <c r="E5" s="107" t="s">
        <v>902</v>
      </c>
      <c r="F5" s="107" t="s">
        <v>901</v>
      </c>
      <c r="G5" s="107" t="s">
        <v>902</v>
      </c>
      <c r="H5" s="107" t="s">
        <v>901</v>
      </c>
      <c r="I5" s="107" t="s">
        <v>902</v>
      </c>
      <c r="J5" s="107" t="s">
        <v>901</v>
      </c>
      <c r="K5" s="107" t="s">
        <v>902</v>
      </c>
      <c r="L5" s="107" t="s">
        <v>901</v>
      </c>
      <c r="M5" s="107" t="s">
        <v>902</v>
      </c>
      <c r="N5" s="107" t="s">
        <v>901</v>
      </c>
      <c r="O5" s="107" t="s">
        <v>902</v>
      </c>
    </row>
    <row r="6" spans="1:15" s="20" customFormat="1" ht="18" customHeight="1">
      <c r="B6" s="27" t="s">
        <v>903</v>
      </c>
      <c r="C6" s="56">
        <v>51325329</v>
      </c>
      <c r="D6" s="31">
        <f>'1. 용도별'!D5</f>
        <v>4227660684.3220005</v>
      </c>
      <c r="E6" s="32">
        <f t="shared" ref="E6:E23" si="0">D6/$C6</f>
        <v>82.369870134139816</v>
      </c>
      <c r="F6" s="31">
        <f>'1. 용도별'!F5</f>
        <v>1950556270.983</v>
      </c>
      <c r="G6" s="32">
        <f>F6/$C6</f>
        <v>38.00377530912661</v>
      </c>
      <c r="H6" s="31">
        <f>'1. 용도별'!H5</f>
        <v>934688689.26999998</v>
      </c>
      <c r="I6" s="32">
        <f>H6/$C6</f>
        <v>18.211060844247097</v>
      </c>
      <c r="J6" s="31">
        <f>'1. 용도별'!J5</f>
        <v>465148021.79500002</v>
      </c>
      <c r="K6" s="32">
        <f>J6/$C6</f>
        <v>9.0627382397295495</v>
      </c>
      <c r="L6" s="31">
        <f>'1. 용도별'!L5</f>
        <v>376645408.43199998</v>
      </c>
      <c r="M6" s="32">
        <f>L6/$C6</f>
        <v>7.3383924812639778</v>
      </c>
      <c r="N6" s="31">
        <f>'1. 용도별'!N5</f>
        <v>500622293.84200001</v>
      </c>
      <c r="O6" s="32">
        <f>N6/$C6</f>
        <v>9.7539032597725779</v>
      </c>
    </row>
    <row r="7" spans="1:15" s="20" customFormat="1" ht="18" customHeight="1">
      <c r="B7" s="28" t="s">
        <v>1</v>
      </c>
      <c r="C7" s="56">
        <v>9386034</v>
      </c>
      <c r="D7" s="31">
        <f>'1. 용도별'!D6</f>
        <v>594223316.7076</v>
      </c>
      <c r="E7" s="32">
        <f t="shared" si="0"/>
        <v>63.309307925754368</v>
      </c>
      <c r="F7" s="31">
        <f>'1. 용도별'!F6</f>
        <v>308478091.63779998</v>
      </c>
      <c r="G7" s="32">
        <f t="shared" ref="G7:G23" si="1">F7/$C7</f>
        <v>32.865648221368041</v>
      </c>
      <c r="H7" s="31">
        <f>'1. 용도별'!H6</f>
        <v>186782639.33590001</v>
      </c>
      <c r="I7" s="32">
        <f t="shared" ref="I7:K7" si="2">H7/$C7</f>
        <v>19.900059954598504</v>
      </c>
      <c r="J7" s="31">
        <f>'1. 용도별'!J6</f>
        <v>14552066.776699999</v>
      </c>
      <c r="K7" s="32">
        <f t="shared" si="2"/>
        <v>1.5503957024553714</v>
      </c>
      <c r="L7" s="31">
        <f>'1. 용도별'!L6</f>
        <v>63430315.032499999</v>
      </c>
      <c r="M7" s="32">
        <f t="shared" ref="M7" si="3">L7/$C7</f>
        <v>6.7579464374942599</v>
      </c>
      <c r="N7" s="31">
        <f>'1. 용도별'!N6</f>
        <v>20980203.924699999</v>
      </c>
      <c r="O7" s="32">
        <f t="shared" ref="O7" si="4">N7/$C7</f>
        <v>2.2352576098381913</v>
      </c>
    </row>
    <row r="8" spans="1:15" s="20" customFormat="1" ht="18" customHeight="1">
      <c r="B8" s="28" t="s">
        <v>2</v>
      </c>
      <c r="C8" s="56">
        <v>3293362</v>
      </c>
      <c r="D8" s="31">
        <f>'1. 용도별'!D7</f>
        <v>255841080.20170999</v>
      </c>
      <c r="E8" s="32">
        <f t="shared" si="0"/>
        <v>77.683862327223665</v>
      </c>
      <c r="F8" s="31">
        <f>'1. 용도별'!F7</f>
        <v>124624082.49153</v>
      </c>
      <c r="G8" s="32">
        <f t="shared" si="1"/>
        <v>37.840991209447978</v>
      </c>
      <c r="H8" s="31">
        <f>'1. 용도별'!H7</f>
        <v>64595346.499980003</v>
      </c>
      <c r="I8" s="32">
        <f t="shared" ref="I8:K8" si="5">H8/$C8</f>
        <v>19.613800881889084</v>
      </c>
      <c r="J8" s="31">
        <f>'1. 용도별'!J7</f>
        <v>19867250.295200001</v>
      </c>
      <c r="K8" s="32">
        <f t="shared" si="5"/>
        <v>6.0325133693775541</v>
      </c>
      <c r="L8" s="31">
        <f>'1. 용도별'!L7</f>
        <v>23981385.440099999</v>
      </c>
      <c r="M8" s="32">
        <f t="shared" ref="M8" si="6">L8/$C8</f>
        <v>7.2817338148979669</v>
      </c>
      <c r="N8" s="31">
        <f>'1. 용도별'!N7</f>
        <v>22773015.4749</v>
      </c>
      <c r="O8" s="32">
        <f t="shared" ref="O8" si="7">N8/$C8</f>
        <v>6.9148230516110889</v>
      </c>
    </row>
    <row r="9" spans="1:15" s="20" customFormat="1" ht="18" customHeight="1">
      <c r="B9" s="28" t="s">
        <v>3</v>
      </c>
      <c r="C9" s="56">
        <v>2374960</v>
      </c>
      <c r="D9" s="31">
        <f>'1. 용도별'!D8</f>
        <v>181440260.67039999</v>
      </c>
      <c r="E9" s="32">
        <f t="shared" si="0"/>
        <v>76.397185919089168</v>
      </c>
      <c r="F9" s="31">
        <f>'1. 용도별'!F8</f>
        <v>95283308.701100007</v>
      </c>
      <c r="G9" s="32">
        <f t="shared" si="1"/>
        <v>40.119963578797119</v>
      </c>
      <c r="H9" s="31">
        <f>'1. 용도별'!H8</f>
        <v>45453595.508599997</v>
      </c>
      <c r="I9" s="32">
        <f t="shared" ref="I9:K9" si="8">H9/$C9</f>
        <v>19.138678339256238</v>
      </c>
      <c r="J9" s="31">
        <f>'1. 용도별'!J8</f>
        <v>16290192.487199999</v>
      </c>
      <c r="K9" s="32">
        <f t="shared" si="8"/>
        <v>6.859143938087378</v>
      </c>
      <c r="L9" s="31">
        <f>'1. 용도별'!L8</f>
        <v>16051156.160599999</v>
      </c>
      <c r="M9" s="32">
        <f t="shared" ref="M9" si="9">L9/$C9</f>
        <v>6.758495368595681</v>
      </c>
      <c r="N9" s="31">
        <f>'1. 용도별'!N8</f>
        <v>8362007.8129000003</v>
      </c>
      <c r="O9" s="32">
        <f t="shared" ref="O9" si="10">N9/$C9</f>
        <v>3.5209046943527471</v>
      </c>
    </row>
    <row r="10" spans="1:15" s="20" customFormat="1" ht="18" customHeight="1">
      <c r="B10" s="28" t="s">
        <v>4</v>
      </c>
      <c r="C10" s="56">
        <v>2997410</v>
      </c>
      <c r="D10" s="31">
        <f>'1. 용도별'!D9</f>
        <v>223037992.89855</v>
      </c>
      <c r="E10" s="32">
        <f t="shared" si="0"/>
        <v>74.410238472064222</v>
      </c>
      <c r="F10" s="31">
        <f>'1. 용도별'!F9</f>
        <v>107415459.67935</v>
      </c>
      <c r="G10" s="32">
        <f t="shared" si="1"/>
        <v>35.836091718967374</v>
      </c>
      <c r="H10" s="31">
        <f>'1. 용도별'!H9</f>
        <v>55915629.386600003</v>
      </c>
      <c r="I10" s="32">
        <f t="shared" ref="I10:K10" si="11">H10/$C10</f>
        <v>18.654648308573069</v>
      </c>
      <c r="J10" s="31">
        <f>'1. 용도별'!J9</f>
        <v>25115385.690900002</v>
      </c>
      <c r="K10" s="32">
        <f t="shared" si="11"/>
        <v>8.3790291254449674</v>
      </c>
      <c r="L10" s="31">
        <f>'1. 용도별'!L9</f>
        <v>18087501.637499999</v>
      </c>
      <c r="M10" s="32">
        <f t="shared" ref="M10" si="12">L10/$C10</f>
        <v>6.0343768912160831</v>
      </c>
      <c r="N10" s="31">
        <f>'1. 용도별'!N9</f>
        <v>16504016.5042</v>
      </c>
      <c r="O10" s="32">
        <f t="shared" ref="O10" si="13">N10/$C10</f>
        <v>5.5060924278627219</v>
      </c>
    </row>
    <row r="11" spans="1:15" s="20" customFormat="1" ht="18" customHeight="1">
      <c r="B11" s="28" t="s">
        <v>5</v>
      </c>
      <c r="C11" s="56">
        <v>1419237</v>
      </c>
      <c r="D11" s="31">
        <f>'1. 용도별'!D10</f>
        <v>110111574.49070001</v>
      </c>
      <c r="E11" s="32">
        <f t="shared" si="0"/>
        <v>77.585050622764214</v>
      </c>
      <c r="F11" s="31">
        <f>'1. 용도별'!F10</f>
        <v>59857077.917499997</v>
      </c>
      <c r="G11" s="32">
        <f t="shared" si="1"/>
        <v>42.175533696979429</v>
      </c>
      <c r="H11" s="31">
        <f>'1. 용도별'!H10</f>
        <v>24411787.727000002</v>
      </c>
      <c r="I11" s="32">
        <f t="shared" ref="I11:K11" si="14">H11/$C11</f>
        <v>17.200642124606393</v>
      </c>
      <c r="J11" s="31">
        <f>'1. 용도별'!J10</f>
        <v>8781783.8344000001</v>
      </c>
      <c r="K11" s="32">
        <f t="shared" si="14"/>
        <v>6.1876796013632678</v>
      </c>
      <c r="L11" s="31">
        <f>'1. 용도별'!L10</f>
        <v>12869131.6611</v>
      </c>
      <c r="M11" s="32">
        <f t="shared" ref="M11" si="15">L11/$C11</f>
        <v>9.0676410360637441</v>
      </c>
      <c r="N11" s="31">
        <f>'1. 용도별'!N10</f>
        <v>4191793.3506999998</v>
      </c>
      <c r="O11" s="32">
        <f t="shared" ref="O11" si="16">N11/$C11</f>
        <v>2.9535541637513676</v>
      </c>
    </row>
    <row r="12" spans="1:15" s="20" customFormat="1" ht="18" customHeight="1">
      <c r="B12" s="28" t="s">
        <v>6</v>
      </c>
      <c r="C12" s="56">
        <v>1442216</v>
      </c>
      <c r="D12" s="31">
        <f>'1. 용도별'!D11</f>
        <v>116351917.30185001</v>
      </c>
      <c r="E12" s="32">
        <f t="shared" si="0"/>
        <v>80.675791491600435</v>
      </c>
      <c r="F12" s="31">
        <f>'1. 용도별'!F11</f>
        <v>57280772.308499999</v>
      </c>
      <c r="G12" s="32">
        <f t="shared" si="1"/>
        <v>39.717193754957648</v>
      </c>
      <c r="H12" s="31">
        <f>'1. 용도별'!H11</f>
        <v>25161964.497900002</v>
      </c>
      <c r="I12" s="32">
        <f t="shared" ref="I12:K12" si="17">H12/$C12</f>
        <v>17.446737865825924</v>
      </c>
      <c r="J12" s="31">
        <f>'1. 용도별'!J11</f>
        <v>5662874.7257000003</v>
      </c>
      <c r="K12" s="32">
        <f t="shared" si="17"/>
        <v>3.9265094311115676</v>
      </c>
      <c r="L12" s="31">
        <f>'1. 용도별'!L11</f>
        <v>15094653.012049999</v>
      </c>
      <c r="M12" s="32">
        <f t="shared" ref="M12" si="18">L12/$C12</f>
        <v>10.466291465390759</v>
      </c>
      <c r="N12" s="31">
        <f>'1. 용도별'!N11</f>
        <v>13151652.7577</v>
      </c>
      <c r="O12" s="32">
        <f t="shared" ref="O12" si="19">N12/$C12</f>
        <v>9.1190589743145267</v>
      </c>
    </row>
    <row r="13" spans="1:15" s="20" customFormat="1" ht="18" customHeight="1">
      <c r="B13" s="28" t="s">
        <v>7</v>
      </c>
      <c r="C13" s="56">
        <v>1103661</v>
      </c>
      <c r="D13" s="31">
        <f>'1. 용도별'!D12</f>
        <v>94810829.082050011</v>
      </c>
      <c r="E13" s="32">
        <f t="shared" si="0"/>
        <v>85.905752837193674</v>
      </c>
      <c r="F13" s="31">
        <f>'1. 용도별'!F12</f>
        <v>44358547.931199998</v>
      </c>
      <c r="G13" s="32">
        <f t="shared" si="1"/>
        <v>40.192185762838406</v>
      </c>
      <c r="H13" s="31">
        <f>'1. 용도별'!H12</f>
        <v>18547142.784000002</v>
      </c>
      <c r="I13" s="32">
        <f t="shared" ref="I13:K13" si="20">H13/$C13</f>
        <v>16.805108438188903</v>
      </c>
      <c r="J13" s="31">
        <f>'1. 용도별'!J12</f>
        <v>18653919.989399999</v>
      </c>
      <c r="K13" s="32">
        <f t="shared" si="20"/>
        <v>16.901856629345424</v>
      </c>
      <c r="L13" s="31">
        <f>'1. 용도별'!L12</f>
        <v>7335576.7494000001</v>
      </c>
      <c r="M13" s="32">
        <f t="shared" ref="M13" si="21">L13/$C13</f>
        <v>6.6465850921614518</v>
      </c>
      <c r="N13" s="31">
        <f>'1. 용도별'!N12</f>
        <v>5915641.6280500004</v>
      </c>
      <c r="O13" s="32">
        <f t="shared" ref="O13" si="22">N13/$C13</f>
        <v>5.360016914659484</v>
      </c>
    </row>
    <row r="14" spans="1:15" s="20" customFormat="1" ht="18" customHeight="1">
      <c r="B14" s="28" t="s">
        <v>852</v>
      </c>
      <c r="C14" s="56">
        <v>386525</v>
      </c>
      <c r="D14" s="31">
        <f>'1. 용도별'!D13</f>
        <v>31939699.539299998</v>
      </c>
      <c r="E14" s="32">
        <f t="shared" si="0"/>
        <v>82.632946224176962</v>
      </c>
      <c r="F14" s="31">
        <f>'1. 용도별'!F13</f>
        <v>16035867.659299999</v>
      </c>
      <c r="G14" s="32">
        <f t="shared" si="1"/>
        <v>41.487271610633208</v>
      </c>
      <c r="H14" s="31">
        <f>'1. 용도별'!H13</f>
        <v>5875166.5996000003</v>
      </c>
      <c r="I14" s="32">
        <f t="shared" ref="I14:K14" si="23">H14/$C14</f>
        <v>15.199965331091134</v>
      </c>
      <c r="J14" s="31">
        <f>'1. 용도별'!J13</f>
        <v>2982271.5109000001</v>
      </c>
      <c r="K14" s="32">
        <f t="shared" si="23"/>
        <v>7.7155979843477143</v>
      </c>
      <c r="L14" s="31">
        <f>'1. 용도별'!L13</f>
        <v>3300221.2881999998</v>
      </c>
      <c r="M14" s="32">
        <f t="shared" ref="M14" si="24">L14/$C14</f>
        <v>8.5381832693874902</v>
      </c>
      <c r="N14" s="31">
        <f>'1. 용도별'!N13</f>
        <v>3746172.4813000001</v>
      </c>
      <c r="O14" s="32">
        <f t="shared" ref="O14" si="25">N14/$C14</f>
        <v>9.6919280287174185</v>
      </c>
    </row>
    <row r="15" spans="1:15" s="20" customFormat="1" ht="18" customHeight="1">
      <c r="B15" s="28" t="s">
        <v>8</v>
      </c>
      <c r="C15" s="56">
        <v>13630821</v>
      </c>
      <c r="D15" s="31">
        <f>'1. 용도별'!D14</f>
        <v>1108557371.9829042</v>
      </c>
      <c r="E15" s="32">
        <f t="shared" si="0"/>
        <v>81.327263558292216</v>
      </c>
      <c r="F15" s="31">
        <f>'1. 용도별'!F14</f>
        <v>502659091.66213399</v>
      </c>
      <c r="G15" s="32">
        <f t="shared" si="1"/>
        <v>36.876655607327983</v>
      </c>
      <c r="H15" s="31">
        <f>'1. 용도별'!H14</f>
        <v>228778384.68091509</v>
      </c>
      <c r="I15" s="32">
        <f t="shared" ref="I15:K15" si="26">H15/$C15</f>
        <v>16.783903528695379</v>
      </c>
      <c r="J15" s="31">
        <f>'1. 용도별'!J14</f>
        <v>135919842.8127</v>
      </c>
      <c r="K15" s="32">
        <f t="shared" si="26"/>
        <v>9.9715081588042285</v>
      </c>
      <c r="L15" s="31">
        <f>'1. 용도별'!L14</f>
        <v>84771583.493025005</v>
      </c>
      <c r="M15" s="32">
        <f t="shared" ref="M15" si="27">L15/$C15</f>
        <v>6.2191106091867105</v>
      </c>
      <c r="N15" s="31">
        <f>'1. 용도별'!N14</f>
        <v>156428469.33412999</v>
      </c>
      <c r="O15" s="32">
        <f t="shared" ref="O15" si="28">N15/$C15</f>
        <v>11.476085654277904</v>
      </c>
    </row>
    <row r="16" spans="1:15" s="20" customFormat="1" ht="18" customHeight="1">
      <c r="B16" s="28" t="s">
        <v>1456</v>
      </c>
      <c r="C16" s="56">
        <v>1527807</v>
      </c>
      <c r="D16" s="31">
        <f>'1. 용도별'!D15</f>
        <v>145835370.968963</v>
      </c>
      <c r="E16" s="32">
        <f t="shared" si="0"/>
        <v>95.454053403972495</v>
      </c>
      <c r="F16" s="31">
        <f>'1. 용도별'!F15</f>
        <v>64847505.977762997</v>
      </c>
      <c r="G16" s="32">
        <f t="shared" si="1"/>
        <v>42.444828422544859</v>
      </c>
      <c r="H16" s="31">
        <f>'1. 용도별'!H15</f>
        <v>33239229.215050001</v>
      </c>
      <c r="I16" s="32">
        <f t="shared" ref="I16:K16" si="29">H16/$C16</f>
        <v>21.75617025910341</v>
      </c>
      <c r="J16" s="31">
        <f>'1. 용도별'!J15</f>
        <v>7464148.8366999999</v>
      </c>
      <c r="K16" s="32">
        <f t="shared" si="29"/>
        <v>4.8855312462241631</v>
      </c>
      <c r="L16" s="31">
        <f>'1. 용도별'!L15</f>
        <v>17151380.07375</v>
      </c>
      <c r="M16" s="32">
        <f t="shared" ref="M16" si="30">L16/$C16</f>
        <v>11.226143140953013</v>
      </c>
      <c r="N16" s="31">
        <f>'1. 용도별'!N15</f>
        <v>23133106.865699999</v>
      </c>
      <c r="O16" s="32">
        <f t="shared" ref="O16" si="31">N16/$C16</f>
        <v>15.141380335147044</v>
      </c>
    </row>
    <row r="17" spans="2:15" s="20" customFormat="1" ht="18" customHeight="1">
      <c r="B17" s="28" t="s">
        <v>9</v>
      </c>
      <c r="C17" s="56">
        <v>1593469</v>
      </c>
      <c r="D17" s="31">
        <f>'1. 용도별'!D16</f>
        <v>162002149.47755003</v>
      </c>
      <c r="E17" s="32">
        <f t="shared" si="0"/>
        <v>101.66633268519816</v>
      </c>
      <c r="F17" s="31">
        <f>'1. 용도별'!F16</f>
        <v>68352952.735799998</v>
      </c>
      <c r="G17" s="32">
        <f t="shared" si="1"/>
        <v>42.895690305741745</v>
      </c>
      <c r="H17" s="31">
        <f>'1. 용도별'!H16</f>
        <v>27674039.056600001</v>
      </c>
      <c r="I17" s="32">
        <f t="shared" ref="I17:K17" si="32">H17/$C17</f>
        <v>17.367165007038103</v>
      </c>
      <c r="J17" s="31">
        <f>'1. 용도별'!J16</f>
        <v>29701760.717300002</v>
      </c>
      <c r="K17" s="32">
        <f t="shared" si="32"/>
        <v>18.639685313802779</v>
      </c>
      <c r="L17" s="31">
        <f>'1. 용도별'!L16</f>
        <v>13844344.3846</v>
      </c>
      <c r="M17" s="32">
        <f t="shared" ref="M17" si="33">L17/$C17</f>
        <v>8.6881793022644302</v>
      </c>
      <c r="N17" s="31">
        <f>'1. 용도별'!N16</f>
        <v>22429052.583250001</v>
      </c>
      <c r="O17" s="32">
        <f t="shared" ref="O17" si="34">N17/$C17</f>
        <v>14.075612756351081</v>
      </c>
    </row>
    <row r="18" spans="2:15" s="20" customFormat="1" ht="18" customHeight="1">
      <c r="B18" s="28" t="s">
        <v>10</v>
      </c>
      <c r="C18" s="56">
        <v>2130119</v>
      </c>
      <c r="D18" s="31">
        <f>'1. 용도별'!D17</f>
        <v>230607710.36564997</v>
      </c>
      <c r="E18" s="32">
        <f t="shared" si="0"/>
        <v>108.26048233251286</v>
      </c>
      <c r="F18" s="31">
        <f>'1. 용도별'!F17</f>
        <v>89275780.922399998</v>
      </c>
      <c r="G18" s="32">
        <f t="shared" si="1"/>
        <v>41.911170654033882</v>
      </c>
      <c r="H18" s="31">
        <f>'1. 용도별'!H17</f>
        <v>37901877.478050001</v>
      </c>
      <c r="I18" s="32">
        <f t="shared" ref="I18:K18" si="35">H18/$C18</f>
        <v>17.793314588551155</v>
      </c>
      <c r="J18" s="31">
        <f>'1. 용도별'!J17</f>
        <v>44934545.520999998</v>
      </c>
      <c r="K18" s="32">
        <f t="shared" si="35"/>
        <v>21.094852222340627</v>
      </c>
      <c r="L18" s="31">
        <f>'1. 용도별'!L17</f>
        <v>18271738.543400001</v>
      </c>
      <c r="M18" s="32">
        <f t="shared" ref="M18" si="36">L18/$C18</f>
        <v>8.577801776989924</v>
      </c>
      <c r="N18" s="31">
        <f>'1. 용도별'!N17</f>
        <v>40223767.900799997</v>
      </c>
      <c r="O18" s="32">
        <f t="shared" ref="O18" si="37">N18/$C18</f>
        <v>18.883343090597286</v>
      </c>
    </row>
    <row r="19" spans="2:15" s="20" customFormat="1" ht="18" customHeight="1">
      <c r="B19" s="16" t="s">
        <v>1549</v>
      </c>
      <c r="C19" s="56">
        <v>1754757</v>
      </c>
      <c r="D19" s="31">
        <f>'1. 용도별'!D18</f>
        <v>172607854.92954999</v>
      </c>
      <c r="E19" s="32">
        <f t="shared" si="0"/>
        <v>98.36567395345908</v>
      </c>
      <c r="F19" s="31">
        <f>'1. 용도별'!F18</f>
        <v>71018326.511999995</v>
      </c>
      <c r="G19" s="32">
        <f t="shared" si="1"/>
        <v>40.471886712519165</v>
      </c>
      <c r="H19" s="31">
        <f>'1. 용도별'!H18</f>
        <v>31067179.42735</v>
      </c>
      <c r="I19" s="32">
        <f t="shared" ref="I19:K19" si="38">H19/$C19</f>
        <v>17.704547938745936</v>
      </c>
      <c r="J19" s="31">
        <f>'1. 용도별'!J18</f>
        <v>18741924.115800001</v>
      </c>
      <c r="K19" s="32">
        <f t="shared" si="38"/>
        <v>10.680637897896974</v>
      </c>
      <c r="L19" s="31">
        <f>'1. 용도별'!L18</f>
        <v>16740873.4</v>
      </c>
      <c r="M19" s="32">
        <f t="shared" ref="M19" si="39">L19/$C19</f>
        <v>9.5402801641480846</v>
      </c>
      <c r="N19" s="31">
        <f>'1. 용도별'!N18</f>
        <v>35039551.474399999</v>
      </c>
      <c r="O19" s="32">
        <f t="shared" ref="O19" si="40">N19/$C19</f>
        <v>19.968321240148921</v>
      </c>
    </row>
    <row r="20" spans="2:15" s="20" customFormat="1" ht="18" customHeight="1">
      <c r="B20" s="28" t="s">
        <v>11</v>
      </c>
      <c r="C20" s="56">
        <v>1804217</v>
      </c>
      <c r="D20" s="31">
        <f>'1. 용도별'!D19</f>
        <v>185386551.96561998</v>
      </c>
      <c r="E20" s="32">
        <f t="shared" si="0"/>
        <v>102.75180422622111</v>
      </c>
      <c r="F20" s="31">
        <f>'1. 용도별'!F19</f>
        <v>74256538.747419998</v>
      </c>
      <c r="G20" s="32">
        <f t="shared" si="1"/>
        <v>41.157210439442707</v>
      </c>
      <c r="H20" s="31">
        <f>'1. 용도별'!H19</f>
        <v>33028267.565200001</v>
      </c>
      <c r="I20" s="32">
        <f t="shared" ref="I20:K20" si="41">H20/$C20</f>
        <v>18.306150294116506</v>
      </c>
      <c r="J20" s="31">
        <f>'1. 용도별'!J19</f>
        <v>20883290.072500002</v>
      </c>
      <c r="K20" s="32">
        <f t="shared" si="41"/>
        <v>11.574710842709054</v>
      </c>
      <c r="L20" s="31">
        <f>'1. 용도별'!L19</f>
        <v>16165654.629799999</v>
      </c>
      <c r="M20" s="32">
        <f t="shared" ref="M20" si="42">L20/$C20</f>
        <v>8.9599281182917565</v>
      </c>
      <c r="N20" s="31">
        <f>'1. 용도별'!N19</f>
        <v>41052800.9507</v>
      </c>
      <c r="O20" s="32">
        <f t="shared" ref="O20" si="43">N20/$C20</f>
        <v>22.753804531661103</v>
      </c>
    </row>
    <row r="21" spans="2:15" s="20" customFormat="1" ht="18" customHeight="1">
      <c r="B21" s="28" t="s">
        <v>12</v>
      </c>
      <c r="C21" s="56">
        <v>2554324</v>
      </c>
      <c r="D21" s="31">
        <f>'1. 용도별'!D20</f>
        <v>268538300.45090002</v>
      </c>
      <c r="E21" s="32">
        <f t="shared" si="0"/>
        <v>105.13086846104881</v>
      </c>
      <c r="F21" s="31">
        <f>'1. 용도별'!F20</f>
        <v>107816273.00560001</v>
      </c>
      <c r="G21" s="32">
        <f t="shared" si="1"/>
        <v>42.209317614210256</v>
      </c>
      <c r="H21" s="31">
        <f>'1. 용도별'!H20</f>
        <v>42900911.273699999</v>
      </c>
      <c r="I21" s="32">
        <f t="shared" ref="I21:K21" si="44">H21/$C21</f>
        <v>16.795407032819643</v>
      </c>
      <c r="J21" s="31">
        <f>'1. 용도별'!J20</f>
        <v>49668824.516800001</v>
      </c>
      <c r="K21" s="32">
        <f t="shared" si="44"/>
        <v>19.444997782896767</v>
      </c>
      <c r="L21" s="31">
        <f>'1. 용도별'!L20</f>
        <v>21881980.0792</v>
      </c>
      <c r="M21" s="32">
        <f t="shared" ref="M21" si="45">L21/$C21</f>
        <v>8.5666423207079436</v>
      </c>
      <c r="N21" s="31">
        <f>'1. 용도별'!N20</f>
        <v>46270311.575599998</v>
      </c>
      <c r="O21" s="32">
        <f t="shared" ref="O21" si="46">N21/$C21</f>
        <v>18.114503710414184</v>
      </c>
    </row>
    <row r="22" spans="2:15" s="20" customFormat="1" ht="18" customHeight="1">
      <c r="B22" s="28" t="s">
        <v>13</v>
      </c>
      <c r="C22" s="56">
        <v>3251158</v>
      </c>
      <c r="D22" s="31">
        <f>'1. 용도별'!D21</f>
        <v>286954277.41382498</v>
      </c>
      <c r="E22" s="32">
        <f t="shared" si="0"/>
        <v>88.262175327629407</v>
      </c>
      <c r="F22" s="31">
        <f>'1. 용도별'!F21</f>
        <v>133572343.21465001</v>
      </c>
      <c r="G22" s="32">
        <f t="shared" si="1"/>
        <v>41.084543788597784</v>
      </c>
      <c r="H22" s="31">
        <f>'1. 용도별'!H21</f>
        <v>53435149.105075002</v>
      </c>
      <c r="I22" s="32">
        <f t="shared" ref="I22:K22" si="47">H22/$C22</f>
        <v>16.435728163649692</v>
      </c>
      <c r="J22" s="31">
        <f>'1. 용도별'!J21</f>
        <v>45078306.039499998</v>
      </c>
      <c r="K22" s="32">
        <f t="shared" si="47"/>
        <v>13.865307696365418</v>
      </c>
      <c r="L22" s="31">
        <f>'1. 용도별'!L21</f>
        <v>22127287.2742</v>
      </c>
      <c r="M22" s="32">
        <f t="shared" ref="M22" si="48">L22/$C22</f>
        <v>6.8059710645253171</v>
      </c>
      <c r="N22" s="31">
        <f>'1. 용도별'!N21</f>
        <v>32741191.780400001</v>
      </c>
      <c r="O22" s="32">
        <f t="shared" ref="O22" si="49">N22/$C22</f>
        <v>10.070624614491207</v>
      </c>
    </row>
    <row r="23" spans="2:15" s="20" customFormat="1" ht="18" customHeight="1">
      <c r="B23" s="28" t="s">
        <v>14</v>
      </c>
      <c r="C23" s="56">
        <v>675252</v>
      </c>
      <c r="D23" s="31">
        <f>'1. 용도별'!D22</f>
        <v>59414425.869260006</v>
      </c>
      <c r="E23" s="32">
        <f t="shared" si="0"/>
        <v>87.988522609722011</v>
      </c>
      <c r="F23" s="31">
        <f>'1. 용도별'!F22</f>
        <v>25424249.877659999</v>
      </c>
      <c r="G23" s="32">
        <f t="shared" si="1"/>
        <v>37.651498814753602</v>
      </c>
      <c r="H23" s="31">
        <f>'1. 용도별'!H22</f>
        <v>19920379.1274</v>
      </c>
      <c r="I23" s="32">
        <f t="shared" ref="I23:K23" si="50">H23/$C23</f>
        <v>29.500659201897957</v>
      </c>
      <c r="J23" s="31">
        <f>'1. 용도별'!J22</f>
        <v>849633.85049999994</v>
      </c>
      <c r="K23" s="32">
        <f t="shared" si="50"/>
        <v>1.2582470699827619</v>
      </c>
      <c r="L23" s="31">
        <f>'1. 용도별'!L22</f>
        <v>5540625.5717000002</v>
      </c>
      <c r="M23" s="32">
        <f t="shared" ref="M23" si="51">L23/$C23</f>
        <v>8.205270879168074</v>
      </c>
      <c r="N23" s="31">
        <f>'1. 용도별'!N22</f>
        <v>7679537.4419999998</v>
      </c>
      <c r="O23" s="32">
        <f t="shared" ref="O23" si="52">N23/$C23</f>
        <v>11.372846643919603</v>
      </c>
    </row>
    <row r="26" spans="2:15" ht="18" customHeight="1">
      <c r="C26"/>
    </row>
    <row r="27" spans="2:15" ht="18" customHeight="1">
      <c r="C27"/>
    </row>
    <row r="28" spans="2:15" ht="18" customHeight="1">
      <c r="C28"/>
    </row>
    <row r="29" spans="2:15" ht="18" customHeight="1">
      <c r="C29"/>
    </row>
    <row r="30" spans="2:15" ht="18" customHeight="1">
      <c r="C30"/>
    </row>
    <row r="31" spans="2:15" ht="18" customHeight="1">
      <c r="C31"/>
    </row>
    <row r="32" spans="2:15" ht="18" customHeight="1">
      <c r="C32"/>
    </row>
    <row r="33" spans="3:3" ht="18" customHeight="1">
      <c r="C33"/>
    </row>
    <row r="34" spans="3:3" ht="18" customHeight="1">
      <c r="C34"/>
    </row>
    <row r="35" spans="3:3" ht="18" customHeight="1">
      <c r="C35"/>
    </row>
    <row r="36" spans="3:3" ht="18" customHeight="1">
      <c r="C36"/>
    </row>
    <row r="37" spans="3:3" ht="18" customHeight="1">
      <c r="C37"/>
    </row>
    <row r="38" spans="3:3" ht="18" customHeight="1">
      <c r="C38"/>
    </row>
    <row r="39" spans="3:3" ht="18" customHeight="1">
      <c r="C39"/>
    </row>
    <row r="40" spans="3:3" ht="18" customHeight="1">
      <c r="C40"/>
    </row>
    <row r="41" spans="3:3" ht="18" customHeight="1">
      <c r="C41"/>
    </row>
    <row r="42" spans="3:3" ht="18" customHeight="1">
      <c r="C42"/>
    </row>
    <row r="43" spans="3:3" ht="18" customHeight="1">
      <c r="C43"/>
    </row>
  </sheetData>
  <mergeCells count="8">
    <mergeCell ref="J4:K4"/>
    <mergeCell ref="L4:M4"/>
    <mergeCell ref="N4:O4"/>
    <mergeCell ref="B4:B5"/>
    <mergeCell ref="C4:C5"/>
    <mergeCell ref="D4:E4"/>
    <mergeCell ref="F4:G4"/>
    <mergeCell ref="H4:I4"/>
  </mergeCells>
  <phoneticPr fontId="5" type="noConversion"/>
  <pageMargins left="0.7" right="0.7" top="0.75" bottom="0.75" header="0.3" footer="0.3"/>
  <pageSetup paperSize="9" scale="61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255"/>
  <sheetViews>
    <sheetView view="pageBreakPreview" zoomScaleSheetLayoutView="100" workbookViewId="0">
      <selection activeCell="B1" sqref="B1"/>
    </sheetView>
  </sheetViews>
  <sheetFormatPr defaultColWidth="9" defaultRowHeight="18" customHeight="1"/>
  <cols>
    <col min="1" max="1" width="2.625" style="37" customWidth="1"/>
    <col min="2" max="2" width="17.875" style="36" customWidth="1"/>
    <col min="3" max="3" width="22.25" style="36" customWidth="1"/>
    <col min="4" max="4" width="19.25" style="36" customWidth="1"/>
    <col min="5" max="5" width="23.25" style="36" customWidth="1"/>
    <col min="6" max="6" width="20.75" style="36" customWidth="1"/>
    <col min="7" max="7" width="23.25" style="36" customWidth="1"/>
    <col min="8" max="8" width="20.75" style="36" customWidth="1"/>
    <col min="9" max="16384" width="9" style="37"/>
  </cols>
  <sheetData>
    <row r="1" spans="1:8" ht="30" customHeight="1">
      <c r="A1" s="25" t="s">
        <v>1428</v>
      </c>
    </row>
    <row r="2" spans="1:8" ht="18" customHeight="1">
      <c r="A2" s="26" t="s">
        <v>1454</v>
      </c>
    </row>
    <row r="3" spans="1:8" ht="18" customHeight="1">
      <c r="D3" s="50"/>
      <c r="E3" s="43"/>
      <c r="G3" s="43"/>
    </row>
    <row r="4" spans="1:8" ht="18" customHeight="1">
      <c r="B4" s="120" t="s">
        <v>15</v>
      </c>
      <c r="C4" s="120" t="s">
        <v>1022</v>
      </c>
      <c r="D4" s="120" t="s">
        <v>1023</v>
      </c>
      <c r="E4" s="115" t="s">
        <v>1024</v>
      </c>
      <c r="F4" s="116"/>
      <c r="G4" s="115" t="s">
        <v>1025</v>
      </c>
      <c r="H4" s="116"/>
    </row>
    <row r="5" spans="1:8" ht="18" customHeight="1">
      <c r="B5" s="121"/>
      <c r="C5" s="121"/>
      <c r="D5" s="121"/>
      <c r="E5" s="78" t="s">
        <v>1026</v>
      </c>
      <c r="F5" s="78" t="s">
        <v>1027</v>
      </c>
      <c r="G5" s="78" t="s">
        <v>1028</v>
      </c>
      <c r="H5" s="78" t="s">
        <v>1027</v>
      </c>
    </row>
    <row r="6" spans="1:8" ht="18" customHeight="1">
      <c r="B6" s="66" t="s">
        <v>1048</v>
      </c>
      <c r="C6" s="66" t="s">
        <v>1065</v>
      </c>
      <c r="D6" s="108">
        <v>139417</v>
      </c>
      <c r="E6" s="109">
        <f>'5-2. 30년이상 건축물(시군구별) '!D6</f>
        <v>19667795.736699998</v>
      </c>
      <c r="F6" s="110">
        <f>E6/$D$6</f>
        <v>141.07171820294511</v>
      </c>
      <c r="G6" s="109">
        <f>'5-2. 30년이상 건축물(시군구별) '!G6</f>
        <v>5067119.8163000001</v>
      </c>
      <c r="H6" s="110">
        <f>G6/$D$6</f>
        <v>36.345064205226052</v>
      </c>
    </row>
    <row r="7" spans="1:8" ht="18" customHeight="1">
      <c r="B7" s="66" t="s">
        <v>1048</v>
      </c>
      <c r="C7" s="66" t="s">
        <v>1066</v>
      </c>
      <c r="D7" s="108">
        <v>121312</v>
      </c>
      <c r="E7" s="109">
        <f>'5-2. 30년이상 건축물(시군구별) '!D7</f>
        <v>22465284.278900001</v>
      </c>
      <c r="F7" s="110">
        <f t="shared" ref="F7:F71" si="0">E7/$D$6</f>
        <v>161.13733819333368</v>
      </c>
      <c r="G7" s="109">
        <f>'5-2. 30년이상 건축물(시군구별) '!G7</f>
        <v>4577012.0356999999</v>
      </c>
      <c r="H7" s="110">
        <f t="shared" ref="H7:H71" si="1">G7/$D$6</f>
        <v>32.829655176198024</v>
      </c>
    </row>
    <row r="8" spans="1:8" ht="18" customHeight="1">
      <c r="B8" s="66" t="s">
        <v>1048</v>
      </c>
      <c r="C8" s="66" t="s">
        <v>1067</v>
      </c>
      <c r="D8" s="108">
        <v>213151</v>
      </c>
      <c r="E8" s="109">
        <f>'5-2. 30년이상 건축물(시군구별) '!D8</f>
        <v>17734347.0174</v>
      </c>
      <c r="F8" s="110">
        <f t="shared" si="0"/>
        <v>127.20361948255952</v>
      </c>
      <c r="G8" s="109">
        <f>'5-2. 30년이상 건축물(시군구별) '!G8</f>
        <v>8877857.1801999994</v>
      </c>
      <c r="H8" s="110">
        <f t="shared" si="1"/>
        <v>63.678440794164267</v>
      </c>
    </row>
    <row r="9" spans="1:8" ht="18" customHeight="1">
      <c r="B9" s="66" t="s">
        <v>1048</v>
      </c>
      <c r="C9" s="66" t="s">
        <v>1068</v>
      </c>
      <c r="D9" s="108">
        <v>277361</v>
      </c>
      <c r="E9" s="109">
        <f>'5-2. 30년이상 건축물(시군구별) '!D9</f>
        <v>19934801.529399998</v>
      </c>
      <c r="F9" s="110">
        <f t="shared" si="0"/>
        <v>142.98687770788354</v>
      </c>
      <c r="G9" s="109">
        <f>'5-2. 30년이상 건축물(시군구별) '!G9</f>
        <v>9364345.4648000002</v>
      </c>
      <c r="H9" s="110">
        <f t="shared" si="1"/>
        <v>67.167888168587766</v>
      </c>
    </row>
    <row r="10" spans="1:8" ht="18" customHeight="1">
      <c r="B10" s="66" t="s">
        <v>1048</v>
      </c>
      <c r="C10" s="66" t="s">
        <v>1069</v>
      </c>
      <c r="D10" s="108">
        <v>335554</v>
      </c>
      <c r="E10" s="109">
        <f>'5-2. 30년이상 건축물(시군구별) '!D10</f>
        <v>17097832.8948</v>
      </c>
      <c r="F10" s="110">
        <f t="shared" si="0"/>
        <v>122.63807781547445</v>
      </c>
      <c r="G10" s="109">
        <f>'5-2. 30년이상 건축물(시군구별) '!G10</f>
        <v>9971910.4849999994</v>
      </c>
      <c r="H10" s="110">
        <f t="shared" si="1"/>
        <v>71.52578584390713</v>
      </c>
    </row>
    <row r="11" spans="1:8" ht="18" customHeight="1">
      <c r="B11" s="66" t="s">
        <v>1048</v>
      </c>
      <c r="C11" s="66" t="s">
        <v>1070</v>
      </c>
      <c r="D11" s="108">
        <v>341149</v>
      </c>
      <c r="E11" s="109">
        <f>'5-2. 30년이상 건축물(시군구별) '!D11</f>
        <v>19004726.004000001</v>
      </c>
      <c r="F11" s="110">
        <f t="shared" si="0"/>
        <v>136.31570040956268</v>
      </c>
      <c r="G11" s="109">
        <f>'5-2. 30년이상 건축물(시군구별) '!G11</f>
        <v>10433954.4092</v>
      </c>
      <c r="H11" s="110">
        <f t="shared" si="1"/>
        <v>74.839900508546307</v>
      </c>
    </row>
    <row r="12" spans="1:8" ht="18" customHeight="1">
      <c r="B12" s="66" t="s">
        <v>1048</v>
      </c>
      <c r="C12" s="66" t="s">
        <v>1071</v>
      </c>
      <c r="D12" s="108">
        <v>382155</v>
      </c>
      <c r="E12" s="109">
        <f>'5-2. 30년이상 건축물(시군구별) '!D12</f>
        <v>22167194.925000001</v>
      </c>
      <c r="F12" s="110">
        <f t="shared" si="0"/>
        <v>158.99922480759162</v>
      </c>
      <c r="G12" s="109">
        <f>'5-2. 30년이상 건축물(시군구별) '!G12</f>
        <v>14191794.715700001</v>
      </c>
      <c r="H12" s="110">
        <f t="shared" si="1"/>
        <v>101.79386097606462</v>
      </c>
    </row>
    <row r="13" spans="1:8" ht="18" customHeight="1">
      <c r="B13" s="66" t="s">
        <v>1048</v>
      </c>
      <c r="C13" s="66" t="s">
        <v>1072</v>
      </c>
      <c r="D13" s="108">
        <v>425602</v>
      </c>
      <c r="E13" s="109">
        <f>'5-2. 30년이상 건축물(시군구별) '!D13</f>
        <v>21591756.2447</v>
      </c>
      <c r="F13" s="110">
        <f t="shared" si="0"/>
        <v>154.87176057941284</v>
      </c>
      <c r="G13" s="109">
        <f>'5-2. 30년이상 건축물(시군구별) '!G13</f>
        <v>14285215.7611</v>
      </c>
      <c r="H13" s="110">
        <f t="shared" si="1"/>
        <v>102.46394457706019</v>
      </c>
    </row>
    <row r="14" spans="1:8" ht="18" customHeight="1">
      <c r="B14" s="66" t="s">
        <v>1048</v>
      </c>
      <c r="C14" s="66" t="s">
        <v>1073</v>
      </c>
      <c r="D14" s="108">
        <v>288113</v>
      </c>
      <c r="E14" s="109">
        <f>'5-2. 30년이상 건축물(시군구별) '!D14</f>
        <v>12826475.894200001</v>
      </c>
      <c r="F14" s="110">
        <f t="shared" si="0"/>
        <v>92.00080258648515</v>
      </c>
      <c r="G14" s="109">
        <f>'5-2. 30년이상 건축물(시군구별) '!G14</f>
        <v>8561701.1467000004</v>
      </c>
      <c r="H14" s="110">
        <f t="shared" si="1"/>
        <v>61.410740058242538</v>
      </c>
    </row>
    <row r="15" spans="1:8" ht="18" customHeight="1">
      <c r="B15" s="66" t="s">
        <v>1048</v>
      </c>
      <c r="C15" s="66" t="s">
        <v>1074</v>
      </c>
      <c r="D15" s="108">
        <v>306948</v>
      </c>
      <c r="E15" s="109">
        <f>'5-2. 30년이상 건축물(시군구별) '!D15</f>
        <v>15932859.772399999</v>
      </c>
      <c r="F15" s="110">
        <f t="shared" si="0"/>
        <v>114.28204431597294</v>
      </c>
      <c r="G15" s="109">
        <f>'5-2. 30년이상 건축물(시군구별) '!G15</f>
        <v>10149853.8727</v>
      </c>
      <c r="H15" s="110">
        <f t="shared" si="1"/>
        <v>72.802125083024308</v>
      </c>
    </row>
    <row r="16" spans="1:8" ht="18" customHeight="1">
      <c r="B16" s="66" t="s">
        <v>1048</v>
      </c>
      <c r="C16" s="66" t="s">
        <v>1075</v>
      </c>
      <c r="D16" s="108">
        <v>498213</v>
      </c>
      <c r="E16" s="109">
        <f>'5-2. 30년이상 건축물(시군구별) '!D16</f>
        <v>22673444.475099999</v>
      </c>
      <c r="F16" s="110">
        <f t="shared" si="0"/>
        <v>162.63041433325921</v>
      </c>
      <c r="G16" s="109">
        <f>'5-2. 30년이상 건축물(시군구별) '!G16</f>
        <v>15807225.298599999</v>
      </c>
      <c r="H16" s="110">
        <f t="shared" si="1"/>
        <v>113.3809026058515</v>
      </c>
    </row>
    <row r="17" spans="2:8" ht="18" customHeight="1">
      <c r="B17" s="66" t="s">
        <v>1048</v>
      </c>
      <c r="C17" s="66" t="s">
        <v>1076</v>
      </c>
      <c r="D17" s="108">
        <v>466770</v>
      </c>
      <c r="E17" s="109">
        <f>'5-2. 30년이상 건축물(시군구별) '!D17</f>
        <v>20812059.968499999</v>
      </c>
      <c r="F17" s="110">
        <f t="shared" si="0"/>
        <v>149.27921249560671</v>
      </c>
      <c r="G17" s="109">
        <f>'5-2. 30년이상 건축물(시군구별) '!G17</f>
        <v>14383416.747199999</v>
      </c>
      <c r="H17" s="110">
        <f t="shared" si="1"/>
        <v>103.16831338502477</v>
      </c>
    </row>
    <row r="18" spans="2:8" ht="18" customHeight="1">
      <c r="B18" s="66" t="s">
        <v>1048</v>
      </c>
      <c r="C18" s="66" t="s">
        <v>1077</v>
      </c>
      <c r="D18" s="108">
        <v>306231</v>
      </c>
      <c r="E18" s="109">
        <f>'5-2. 30년이상 건축물(시군구별) '!D18</f>
        <v>17375395.834199999</v>
      </c>
      <c r="F18" s="110">
        <f t="shared" si="0"/>
        <v>124.62896084552098</v>
      </c>
      <c r="G18" s="109">
        <f>'5-2. 30년이상 건축물(시군구별) '!G18</f>
        <v>10043799.288899999</v>
      </c>
      <c r="H18" s="110">
        <f t="shared" si="1"/>
        <v>72.04142456730527</v>
      </c>
    </row>
    <row r="19" spans="2:8" ht="18" customHeight="1">
      <c r="B19" s="66" t="s">
        <v>1048</v>
      </c>
      <c r="C19" s="66" t="s">
        <v>1078</v>
      </c>
      <c r="D19" s="108">
        <v>363697</v>
      </c>
      <c r="E19" s="109">
        <f>'5-2. 30년이상 건축물(시군구별) '!D19</f>
        <v>24164398.054200001</v>
      </c>
      <c r="F19" s="110">
        <f t="shared" si="0"/>
        <v>173.32461646857988</v>
      </c>
      <c r="G19" s="109">
        <f>'5-2. 30년이상 건축물(시군구별) '!G19</f>
        <v>11835981.7567</v>
      </c>
      <c r="H19" s="110">
        <f t="shared" si="1"/>
        <v>84.896259112590286</v>
      </c>
    </row>
    <row r="20" spans="2:8" ht="18" customHeight="1">
      <c r="B20" s="66" t="s">
        <v>1048</v>
      </c>
      <c r="C20" s="66" t="s">
        <v>1079</v>
      </c>
      <c r="D20" s="108">
        <v>436028</v>
      </c>
      <c r="E20" s="109">
        <f>'5-2. 30년이상 건축물(시군구별) '!D20</f>
        <v>21271340.9454</v>
      </c>
      <c r="F20" s="110">
        <f t="shared" si="0"/>
        <v>152.57350929513618</v>
      </c>
      <c r="G20" s="109">
        <f>'5-2. 30년이상 건축물(시군구별) '!G20</f>
        <v>14485764.950999999</v>
      </c>
      <c r="H20" s="110">
        <f t="shared" si="1"/>
        <v>103.90242905097656</v>
      </c>
    </row>
    <row r="21" spans="2:8" ht="18" customHeight="1">
      <c r="B21" s="66" t="s">
        <v>1048</v>
      </c>
      <c r="C21" s="66" t="s">
        <v>1080</v>
      </c>
      <c r="D21" s="108">
        <v>563058</v>
      </c>
      <c r="E21" s="109">
        <f>'5-2. 30년이상 건축물(시군구별) '!D21</f>
        <v>35135562.999700002</v>
      </c>
      <c r="F21" s="110">
        <f t="shared" si="0"/>
        <v>252.01778118665587</v>
      </c>
      <c r="G21" s="109">
        <f>'5-2. 30년이상 건축물(시군구별) '!G21</f>
        <v>17782493.066300001</v>
      </c>
      <c r="H21" s="110">
        <f t="shared" si="1"/>
        <v>127.54895791976588</v>
      </c>
    </row>
    <row r="22" spans="2:8" ht="18" customHeight="1">
      <c r="B22" s="66" t="s">
        <v>1048</v>
      </c>
      <c r="C22" s="66" t="s">
        <v>1081</v>
      </c>
      <c r="D22" s="108">
        <v>392405</v>
      </c>
      <c r="E22" s="109">
        <f>'5-2. 30년이상 건축물(시군구별) '!D22</f>
        <v>23500556.495999999</v>
      </c>
      <c r="F22" s="110">
        <f t="shared" si="0"/>
        <v>168.56306258203804</v>
      </c>
      <c r="G22" s="109">
        <f>'5-2. 30년이상 건축물(시군구별) '!G22</f>
        <v>12656211.096100001</v>
      </c>
      <c r="H22" s="110">
        <f t="shared" si="1"/>
        <v>90.779539769898946</v>
      </c>
    </row>
    <row r="23" spans="2:8" ht="18" customHeight="1">
      <c r="B23" s="66" t="s">
        <v>1048</v>
      </c>
      <c r="C23" s="66" t="s">
        <v>1082</v>
      </c>
      <c r="D23" s="108">
        <v>227481</v>
      </c>
      <c r="E23" s="109">
        <f>'5-2. 30년이상 건축물(시군구별) '!D23</f>
        <v>18124279.9978</v>
      </c>
      <c r="F23" s="110">
        <f t="shared" si="0"/>
        <v>130.00050207506976</v>
      </c>
      <c r="G23" s="109">
        <f>'5-2. 30년이상 건축물(시군구별) '!G23</f>
        <v>6594469.7043000003</v>
      </c>
      <c r="H23" s="110">
        <f t="shared" si="1"/>
        <v>47.30032710716771</v>
      </c>
    </row>
    <row r="24" spans="2:8" ht="18" customHeight="1">
      <c r="B24" s="66" t="s">
        <v>1048</v>
      </c>
      <c r="C24" s="66" t="s">
        <v>1083</v>
      </c>
      <c r="D24" s="108">
        <v>374794</v>
      </c>
      <c r="E24" s="109">
        <f>'5-2. 30년이상 건축물(시군구별) '!D24</f>
        <v>30690561.333900001</v>
      </c>
      <c r="F24" s="110">
        <f t="shared" si="0"/>
        <v>220.13500027901907</v>
      </c>
      <c r="G24" s="109">
        <f>'5-2. 30년이상 건축물(시군구별) '!G24</f>
        <v>11847684.870300001</v>
      </c>
      <c r="H24" s="110">
        <f t="shared" si="1"/>
        <v>84.980202344764265</v>
      </c>
    </row>
    <row r="25" spans="2:8" ht="18" customHeight="1">
      <c r="B25" s="66" t="s">
        <v>1048</v>
      </c>
      <c r="C25" s="66" t="s">
        <v>1084</v>
      </c>
      <c r="D25" s="108">
        <v>378769</v>
      </c>
      <c r="E25" s="109">
        <f>'5-2. 30년이상 건축물(시군구별) '!D25</f>
        <v>18443002.200800002</v>
      </c>
      <c r="F25" s="110">
        <f t="shared" si="0"/>
        <v>132.28660924277528</v>
      </c>
      <c r="G25" s="109">
        <f>'5-2. 30년이상 건축물(시군구별) '!G25</f>
        <v>12197939.8939</v>
      </c>
      <c r="H25" s="110">
        <f t="shared" si="1"/>
        <v>87.492485808043497</v>
      </c>
    </row>
    <row r="26" spans="2:8" ht="18" customHeight="1">
      <c r="B26" s="66" t="s">
        <v>1048</v>
      </c>
      <c r="C26" s="66" t="s">
        <v>1085</v>
      </c>
      <c r="D26" s="108">
        <v>481956</v>
      </c>
      <c r="E26" s="109">
        <f>'5-2. 30년이상 건축물(시군구별) '!D26</f>
        <v>22776557.025199998</v>
      </c>
      <c r="F26" s="110">
        <f t="shared" si="0"/>
        <v>163.37001244611488</v>
      </c>
      <c r="G26" s="109">
        <f>'5-2. 30년이상 건축물(시군구별) '!G26</f>
        <v>12691216.203</v>
      </c>
      <c r="H26" s="110">
        <f t="shared" si="1"/>
        <v>91.030621825171963</v>
      </c>
    </row>
    <row r="27" spans="2:8" ht="18" customHeight="1">
      <c r="B27" s="66" t="s">
        <v>1048</v>
      </c>
      <c r="C27" s="66" t="s">
        <v>1086</v>
      </c>
      <c r="D27" s="108">
        <v>407664</v>
      </c>
      <c r="E27" s="109">
        <f>'5-2. 30년이상 건축물(시군구별) '!D27</f>
        <v>33810163.182499997</v>
      </c>
      <c r="F27" s="110">
        <f t="shared" si="0"/>
        <v>242.51105089408034</v>
      </c>
      <c r="G27" s="109">
        <f>'5-2. 30년이상 건축물(시군구별) '!G27</f>
        <v>15467036.4088</v>
      </c>
      <c r="H27" s="110">
        <f t="shared" si="1"/>
        <v>110.94082076647754</v>
      </c>
    </row>
    <row r="28" spans="2:8" ht="18" customHeight="1">
      <c r="B28" s="66" t="s">
        <v>1048</v>
      </c>
      <c r="C28" s="66" t="s">
        <v>1087</v>
      </c>
      <c r="D28" s="108">
        <v>544873</v>
      </c>
      <c r="E28" s="109">
        <f>'5-2. 30년이상 건축물(시군구별) '!D28</f>
        <v>50800716.181199998</v>
      </c>
      <c r="F28" s="110">
        <f t="shared" si="0"/>
        <v>364.37963936392259</v>
      </c>
      <c r="G28" s="109">
        <f>'5-2. 30년이상 건축물(시군구별) '!G28</f>
        <v>20888178.153000001</v>
      </c>
      <c r="H28" s="110">
        <f t="shared" si="1"/>
        <v>149.82518740899604</v>
      </c>
    </row>
    <row r="29" spans="2:8" ht="18" customHeight="1">
      <c r="B29" s="66" t="s">
        <v>1048</v>
      </c>
      <c r="C29" s="66" t="s">
        <v>1088</v>
      </c>
      <c r="D29" s="108">
        <v>654166</v>
      </c>
      <c r="E29" s="109">
        <f>'5-2. 30년이상 건축물(시군구별) '!D29</f>
        <v>40278442.860600002</v>
      </c>
      <c r="F29" s="110">
        <f t="shared" si="0"/>
        <v>288.90625146574666</v>
      </c>
      <c r="G29" s="109">
        <f>'5-2. 30년이상 건축물(시군구별) '!G29</f>
        <v>21473047.1283</v>
      </c>
      <c r="H29" s="110">
        <f t="shared" si="1"/>
        <v>154.02029256331724</v>
      </c>
    </row>
    <row r="30" spans="2:8" ht="18" customHeight="1">
      <c r="B30" s="66" t="s">
        <v>1048</v>
      </c>
      <c r="C30" s="66" t="s">
        <v>1089</v>
      </c>
      <c r="D30" s="108">
        <v>459167</v>
      </c>
      <c r="E30" s="109">
        <f>'5-2. 30년이상 건축물(시군구별) '!D30</f>
        <v>25943760.855</v>
      </c>
      <c r="F30" s="110">
        <f t="shared" si="0"/>
        <v>186.08749904961374</v>
      </c>
      <c r="G30" s="109">
        <f>'5-2. 30년이상 건축물(시군구별) '!G30</f>
        <v>14842862.184</v>
      </c>
      <c r="H30" s="110">
        <f t="shared" si="1"/>
        <v>106.46378981042484</v>
      </c>
    </row>
    <row r="31" spans="2:8" ht="18" customHeight="1">
      <c r="B31" s="66" t="s">
        <v>1049</v>
      </c>
      <c r="C31" s="66" t="s">
        <v>1066</v>
      </c>
      <c r="D31" s="108">
        <v>38619</v>
      </c>
      <c r="E31" s="109">
        <f>'5-2. 30년이상 건축물(시군구별) '!D31</f>
        <v>4495797.9737</v>
      </c>
      <c r="F31" s="110">
        <f t="shared" si="0"/>
        <v>32.247128927605672</v>
      </c>
      <c r="G31" s="109">
        <f>'5-2. 30년이상 건축물(시군구별) '!G31</f>
        <v>1252861.4243000001</v>
      </c>
      <c r="H31" s="110">
        <f t="shared" si="1"/>
        <v>8.9864322449916436</v>
      </c>
    </row>
    <row r="32" spans="2:8" ht="18" customHeight="1">
      <c r="B32" s="66" t="s">
        <v>1049</v>
      </c>
      <c r="C32" s="66" t="s">
        <v>1090</v>
      </c>
      <c r="D32" s="108">
        <v>104089</v>
      </c>
      <c r="E32" s="109">
        <f>'5-2. 30년이상 건축물(시군구별) '!D32</f>
        <v>7675008.9505000003</v>
      </c>
      <c r="F32" s="110">
        <f t="shared" si="0"/>
        <v>55.050739511680788</v>
      </c>
      <c r="G32" s="109">
        <f>'5-2. 30년이상 건축물(시군구별) '!G32</f>
        <v>3747952.0523999999</v>
      </c>
      <c r="H32" s="110">
        <f t="shared" si="1"/>
        <v>26.883034726037714</v>
      </c>
    </row>
    <row r="33" spans="2:8" ht="18" customHeight="1">
      <c r="B33" s="66" t="s">
        <v>1049</v>
      </c>
      <c r="C33" s="66" t="s">
        <v>1091</v>
      </c>
      <c r="D33" s="108">
        <v>87792</v>
      </c>
      <c r="E33" s="109">
        <f>'5-2. 30년이상 건축물(시군구별) '!D33</f>
        <v>7029487.8843999999</v>
      </c>
      <c r="F33" s="110">
        <f t="shared" si="0"/>
        <v>50.420593502944406</v>
      </c>
      <c r="G33" s="109">
        <f>'5-2. 30년이상 건축물(시군구별) '!G33</f>
        <v>2886978.8410999998</v>
      </c>
      <c r="H33" s="110">
        <f t="shared" si="1"/>
        <v>20.70750942209343</v>
      </c>
    </row>
    <row r="34" spans="2:8" ht="18" customHeight="1">
      <c r="B34" s="66" t="s">
        <v>1049</v>
      </c>
      <c r="C34" s="66" t="s">
        <v>1092</v>
      </c>
      <c r="D34" s="108">
        <v>106548</v>
      </c>
      <c r="E34" s="109">
        <f>'5-2. 30년이상 건축물(시군구별) '!D34</f>
        <v>6815543.6791000003</v>
      </c>
      <c r="F34" s="110">
        <f t="shared" si="0"/>
        <v>48.886030248104611</v>
      </c>
      <c r="G34" s="109">
        <f>'5-2. 30년이상 건축물(시군구별) '!G34</f>
        <v>3750190.1576999999</v>
      </c>
      <c r="H34" s="110">
        <f t="shared" si="1"/>
        <v>26.899088043065049</v>
      </c>
    </row>
    <row r="35" spans="2:8" ht="18" customHeight="1">
      <c r="B35" s="66" t="s">
        <v>1049</v>
      </c>
      <c r="C35" s="66" t="s">
        <v>1093</v>
      </c>
      <c r="D35" s="108">
        <v>359508</v>
      </c>
      <c r="E35" s="109">
        <f>'5-2. 30년이상 건축물(시군구별) '!D35</f>
        <v>24724017.982099999</v>
      </c>
      <c r="F35" s="110">
        <f t="shared" si="0"/>
        <v>177.33861711340796</v>
      </c>
      <c r="G35" s="109">
        <f>'5-2. 30년이상 건축물(시군구별) '!G35</f>
        <v>12647710.7809</v>
      </c>
      <c r="H35" s="110">
        <f t="shared" si="1"/>
        <v>90.718569334442719</v>
      </c>
    </row>
    <row r="36" spans="2:8" ht="18" customHeight="1">
      <c r="B36" s="66" t="s">
        <v>1049</v>
      </c>
      <c r="C36" s="66" t="s">
        <v>1094</v>
      </c>
      <c r="D36" s="108">
        <v>270815</v>
      </c>
      <c r="E36" s="109">
        <f>'5-2. 30년이상 건축물(시군구별) '!D36</f>
        <v>19471793.973529998</v>
      </c>
      <c r="F36" s="110">
        <f t="shared" si="0"/>
        <v>139.66585117690093</v>
      </c>
      <c r="G36" s="109">
        <f>'5-2. 30년이상 건축물(시군구별) '!G36</f>
        <v>10175385.66783</v>
      </c>
      <c r="H36" s="110">
        <f t="shared" si="1"/>
        <v>72.985257664632002</v>
      </c>
    </row>
    <row r="37" spans="2:8" ht="18" customHeight="1">
      <c r="B37" s="66" t="s">
        <v>1049</v>
      </c>
      <c r="C37" s="66" t="s">
        <v>1095</v>
      </c>
      <c r="D37" s="108">
        <v>254185</v>
      </c>
      <c r="E37" s="109">
        <f>'5-2. 30년이상 건축물(시군구별) '!D37</f>
        <v>16693350.347100001</v>
      </c>
      <c r="F37" s="110">
        <f t="shared" si="0"/>
        <v>119.73683515711858</v>
      </c>
      <c r="G37" s="109">
        <f>'5-2. 30년이상 건축물(시군구별) '!G37</f>
        <v>10052495.9725</v>
      </c>
      <c r="H37" s="110">
        <f t="shared" si="1"/>
        <v>72.103803499573218</v>
      </c>
    </row>
    <row r="38" spans="2:8" ht="18" customHeight="1">
      <c r="B38" s="66" t="s">
        <v>1049</v>
      </c>
      <c r="C38" s="66" t="s">
        <v>1096</v>
      </c>
      <c r="D38" s="108">
        <v>273596</v>
      </c>
      <c r="E38" s="109">
        <f>'5-2. 30년이상 건축물(시군구별) '!D38</f>
        <v>15605464.586100001</v>
      </c>
      <c r="F38" s="110">
        <f t="shared" si="0"/>
        <v>111.93372821176759</v>
      </c>
      <c r="G38" s="109">
        <f>'5-2. 30년이상 건축물(시군구별) '!G38</f>
        <v>10668944.570800001</v>
      </c>
      <c r="H38" s="110">
        <f t="shared" si="1"/>
        <v>76.525420650279386</v>
      </c>
    </row>
    <row r="39" spans="2:8" ht="18" customHeight="1">
      <c r="B39" s="66" t="s">
        <v>1049</v>
      </c>
      <c r="C39" s="66" t="s">
        <v>1097</v>
      </c>
      <c r="D39" s="108">
        <v>380448</v>
      </c>
      <c r="E39" s="109">
        <f>'5-2. 30년이상 건축물(시군구별) '!D39</f>
        <v>36686124.961099997</v>
      </c>
      <c r="F39" s="110">
        <f t="shared" si="0"/>
        <v>263.1395379408537</v>
      </c>
      <c r="G39" s="109">
        <f>'5-2. 30년이상 건축물(시군구별) '!G39</f>
        <v>15921352.455499999</v>
      </c>
      <c r="H39" s="110">
        <f t="shared" si="1"/>
        <v>114.19950547996298</v>
      </c>
    </row>
    <row r="40" spans="2:8" ht="18" customHeight="1">
      <c r="B40" s="66" t="s">
        <v>1049</v>
      </c>
      <c r="C40" s="66" t="s">
        <v>1098</v>
      </c>
      <c r="D40" s="108">
        <v>297831</v>
      </c>
      <c r="E40" s="109">
        <f>'5-2. 30년이상 건축물(시군구별) '!D40</f>
        <v>20539845.822099999</v>
      </c>
      <c r="F40" s="110">
        <f t="shared" si="0"/>
        <v>147.32669489445331</v>
      </c>
      <c r="G40" s="109">
        <f>'5-2. 30년이상 건축물(시군구별) '!G40</f>
        <v>11380145.025599999</v>
      </c>
      <c r="H40" s="110">
        <f t="shared" si="1"/>
        <v>81.626666945924811</v>
      </c>
    </row>
    <row r="41" spans="2:8" ht="18" customHeight="1">
      <c r="B41" s="66" t="s">
        <v>1049</v>
      </c>
      <c r="C41" s="66" t="s">
        <v>1099</v>
      </c>
      <c r="D41" s="108">
        <v>215590</v>
      </c>
      <c r="E41" s="109">
        <f>'5-2. 30년이상 건축물(시군구별) '!D41</f>
        <v>14909165.211999999</v>
      </c>
      <c r="F41" s="110">
        <f t="shared" si="0"/>
        <v>106.93936329142069</v>
      </c>
      <c r="G41" s="109">
        <f>'5-2. 30년이상 건축물(시군구별) '!G41</f>
        <v>8364715.2648</v>
      </c>
      <c r="H41" s="110">
        <f t="shared" si="1"/>
        <v>59.99781421777832</v>
      </c>
    </row>
    <row r="42" spans="2:8" ht="18" customHeight="1">
      <c r="B42" s="66" t="s">
        <v>1049</v>
      </c>
      <c r="C42" s="66" t="s">
        <v>1080</v>
      </c>
      <c r="D42" s="108">
        <v>142396</v>
      </c>
      <c r="E42" s="109">
        <f>'5-2. 30년이상 건축물(시군구별) '!D42</f>
        <v>22325225.415899999</v>
      </c>
      <c r="F42" s="110">
        <f t="shared" si="0"/>
        <v>160.1327342856323</v>
      </c>
      <c r="G42" s="109">
        <f>'5-2. 30년이상 건축물(시군구별) '!G42</f>
        <v>5383120.4380000001</v>
      </c>
      <c r="H42" s="110">
        <f t="shared" si="1"/>
        <v>38.611650214823158</v>
      </c>
    </row>
    <row r="43" spans="2:8" ht="18" customHeight="1">
      <c r="B43" s="66" t="s">
        <v>1049</v>
      </c>
      <c r="C43" s="66" t="s">
        <v>1100</v>
      </c>
      <c r="D43" s="108">
        <v>205766</v>
      </c>
      <c r="E43" s="109">
        <f>'5-2. 30년이상 건축물(시군구별) '!D43</f>
        <v>13078771.9123</v>
      </c>
      <c r="F43" s="110">
        <f t="shared" si="0"/>
        <v>93.810452902443743</v>
      </c>
      <c r="G43" s="109">
        <f>'5-2. 30년이상 건축물(시군구별) '!G43</f>
        <v>7665675.9667999996</v>
      </c>
      <c r="H43" s="110">
        <f t="shared" si="1"/>
        <v>54.983796572871313</v>
      </c>
    </row>
    <row r="44" spans="2:8" ht="18" customHeight="1">
      <c r="B44" s="66" t="s">
        <v>1049</v>
      </c>
      <c r="C44" s="66" t="s">
        <v>1101</v>
      </c>
      <c r="D44" s="108">
        <v>174518</v>
      </c>
      <c r="E44" s="109">
        <f>'5-2. 30년이상 건축물(시군구별) '!D44</f>
        <v>10827884.610300001</v>
      </c>
      <c r="F44" s="110">
        <f t="shared" si="0"/>
        <v>77.665454071598162</v>
      </c>
      <c r="G44" s="109">
        <f>'5-2. 30년이상 건축물(시군구별) '!G44</f>
        <v>6727883.6714000003</v>
      </c>
      <c r="H44" s="110">
        <f t="shared" si="1"/>
        <v>48.257268994455487</v>
      </c>
    </row>
    <row r="45" spans="2:8" ht="18" customHeight="1">
      <c r="B45" s="66" t="s">
        <v>1049</v>
      </c>
      <c r="C45" s="66" t="s">
        <v>1102</v>
      </c>
      <c r="D45" s="108">
        <v>202932</v>
      </c>
      <c r="E45" s="109">
        <f>'5-2. 30년이상 건축물(시군구별) '!D45</f>
        <v>19512465.686799999</v>
      </c>
      <c r="F45" s="110">
        <f t="shared" si="0"/>
        <v>139.95757824942439</v>
      </c>
      <c r="G45" s="109">
        <f>'5-2. 30년이상 건축물(시군구별) '!G45</f>
        <v>7169907.2143000001</v>
      </c>
      <c r="H45" s="110">
        <f t="shared" si="1"/>
        <v>51.427782941104745</v>
      </c>
    </row>
    <row r="46" spans="2:8" ht="18" customHeight="1">
      <c r="B46" s="66" t="s">
        <v>1049</v>
      </c>
      <c r="C46" s="66" t="s">
        <v>1103</v>
      </c>
      <c r="D46" s="108">
        <v>178729</v>
      </c>
      <c r="E46" s="109">
        <f>'5-2. 30년이상 건축물(시군구별) '!D46</f>
        <v>15451131.20468</v>
      </c>
      <c r="F46" s="110">
        <f t="shared" si="0"/>
        <v>110.82673708859033</v>
      </c>
      <c r="G46" s="109">
        <f>'5-2. 30년이상 건축물(시군구별) '!G46</f>
        <v>6828762.9875999996</v>
      </c>
      <c r="H46" s="110">
        <f t="shared" si="1"/>
        <v>48.980848731503329</v>
      </c>
    </row>
    <row r="47" spans="2:8" ht="18" customHeight="1">
      <c r="B47" s="66" t="s">
        <v>1050</v>
      </c>
      <c r="C47" s="66" t="s">
        <v>1066</v>
      </c>
      <c r="D47" s="108">
        <v>89064</v>
      </c>
      <c r="E47" s="109">
        <f>'5-2. 30년이상 건축물(시군구별) '!D47</f>
        <v>9222498.4405000005</v>
      </c>
      <c r="F47" s="110">
        <f t="shared" si="0"/>
        <v>66.15045826907766</v>
      </c>
      <c r="G47" s="109">
        <f>'5-2. 30년이상 건축물(시군구별) '!G47</f>
        <v>3536415.2935000001</v>
      </c>
      <c r="H47" s="110">
        <f t="shared" si="1"/>
        <v>25.365739425608069</v>
      </c>
    </row>
    <row r="48" spans="2:8" ht="18" customHeight="1">
      <c r="B48" s="66" t="s">
        <v>1050</v>
      </c>
      <c r="C48" s="66" t="s">
        <v>1091</v>
      </c>
      <c r="D48" s="108">
        <v>342813</v>
      </c>
      <c r="E48" s="109">
        <f>'5-2. 30년이상 건축물(시군구별) '!D48</f>
        <v>26001033.726100001</v>
      </c>
      <c r="F48" s="110">
        <f t="shared" si="0"/>
        <v>186.49830168559072</v>
      </c>
      <c r="G48" s="109">
        <f>'5-2. 30년이상 건축물(시군구별) '!G48</f>
        <v>13491369.575200001</v>
      </c>
      <c r="H48" s="110">
        <f t="shared" si="1"/>
        <v>96.769903062036917</v>
      </c>
    </row>
    <row r="49" spans="2:8" ht="18" customHeight="1">
      <c r="B49" s="66" t="s">
        <v>1050</v>
      </c>
      <c r="C49" s="66" t="s">
        <v>1090</v>
      </c>
      <c r="D49" s="108">
        <v>164088</v>
      </c>
      <c r="E49" s="109">
        <f>'5-2. 30년이상 건축물(시군구별) '!D49</f>
        <v>11483038.699200001</v>
      </c>
      <c r="F49" s="110">
        <f t="shared" si="0"/>
        <v>82.36469511752513</v>
      </c>
      <c r="G49" s="109">
        <f>'5-2. 30년이상 건축물(시군구별) '!G49</f>
        <v>5402963.7525000004</v>
      </c>
      <c r="H49" s="110">
        <f t="shared" si="1"/>
        <v>38.753980881097718</v>
      </c>
    </row>
    <row r="50" spans="2:8" ht="18" customHeight="1">
      <c r="B50" s="66" t="s">
        <v>1050</v>
      </c>
      <c r="C50" s="66" t="s">
        <v>1095</v>
      </c>
      <c r="D50" s="108">
        <v>139187</v>
      </c>
      <c r="E50" s="109">
        <f>'5-2. 30년이상 건축물(시군구별) '!D50</f>
        <v>9068383.4962000009</v>
      </c>
      <c r="F50" s="110">
        <f t="shared" si="0"/>
        <v>65.045033935603271</v>
      </c>
      <c r="G50" s="109">
        <f>'5-2. 30년이상 건축물(시군구별) '!G50</f>
        <v>5653445.3306</v>
      </c>
      <c r="H50" s="110">
        <f t="shared" si="1"/>
        <v>40.550616715321659</v>
      </c>
    </row>
    <row r="51" spans="2:8" ht="18" customHeight="1">
      <c r="B51" s="66" t="s">
        <v>1050</v>
      </c>
      <c r="C51" s="66" t="s">
        <v>1096</v>
      </c>
      <c r="D51" s="108">
        <v>419624</v>
      </c>
      <c r="E51" s="109">
        <f>'5-2. 30년이상 건축물(시군구별) '!D51</f>
        <v>34457998.3486</v>
      </c>
      <c r="F51" s="110">
        <f t="shared" si="0"/>
        <v>247.15779530903691</v>
      </c>
      <c r="G51" s="109">
        <f>'5-2. 30년이상 건축물(시군구별) '!G51</f>
        <v>17093425.916999999</v>
      </c>
      <c r="H51" s="110">
        <f t="shared" si="1"/>
        <v>122.6064677693538</v>
      </c>
    </row>
    <row r="52" spans="2:8" ht="18" customHeight="1">
      <c r="B52" s="66" t="s">
        <v>1050</v>
      </c>
      <c r="C52" s="66" t="s">
        <v>1104</v>
      </c>
      <c r="D52" s="108">
        <v>407331</v>
      </c>
      <c r="E52" s="109">
        <f>'5-2. 30년이상 건축물(시군구별) '!D52</f>
        <v>27765689.0429</v>
      </c>
      <c r="F52" s="110">
        <f t="shared" si="0"/>
        <v>199.15569150749192</v>
      </c>
      <c r="G52" s="109">
        <f>'5-2. 30년이상 건축물(시군구별) '!G52</f>
        <v>17958694.479400001</v>
      </c>
      <c r="H52" s="110">
        <f t="shared" si="1"/>
        <v>128.81280245163791</v>
      </c>
    </row>
    <row r="53" spans="2:8" ht="18" customHeight="1">
      <c r="B53" s="66" t="s">
        <v>1050</v>
      </c>
      <c r="C53" s="66" t="s">
        <v>1105</v>
      </c>
      <c r="D53" s="108">
        <v>527781</v>
      </c>
      <c r="E53" s="109">
        <f>'5-2. 30년이상 건축물(시군구별) '!D53</f>
        <v>37406896.314499997</v>
      </c>
      <c r="F53" s="110">
        <f t="shared" si="0"/>
        <v>268.30943367379871</v>
      </c>
      <c r="G53" s="109">
        <f>'5-2. 30년이상 건축물(시군구별) '!G53</f>
        <v>20997141.490600001</v>
      </c>
      <c r="H53" s="110">
        <f t="shared" si="1"/>
        <v>150.60675161996028</v>
      </c>
    </row>
    <row r="54" spans="2:8" ht="18" customHeight="1">
      <c r="B54" s="66" t="s">
        <v>1050</v>
      </c>
      <c r="C54" s="66" t="s">
        <v>1106</v>
      </c>
      <c r="D54" s="108">
        <v>262084</v>
      </c>
      <c r="E54" s="109">
        <f>'5-2. 30년이상 건축물(시군구별) '!D54</f>
        <v>23197541.7359</v>
      </c>
      <c r="F54" s="110">
        <f t="shared" si="0"/>
        <v>166.38962060509121</v>
      </c>
      <c r="G54" s="109">
        <f>'5-2. 30년이상 건축물(시군구별) '!G54</f>
        <v>10244238.279300001</v>
      </c>
      <c r="H54" s="110">
        <f t="shared" si="1"/>
        <v>73.479118610355982</v>
      </c>
    </row>
    <row r="55" spans="2:8" ht="18" customHeight="1">
      <c r="B55" s="66" t="s">
        <v>1463</v>
      </c>
      <c r="C55" s="66" t="s">
        <v>1256</v>
      </c>
      <c r="D55" s="108">
        <v>22988</v>
      </c>
      <c r="E55" s="109">
        <f>'5-2. 30년이상 건축물(시군구별) '!D55</f>
        <v>2837180.8665</v>
      </c>
      <c r="F55" s="110">
        <f>E55/$D$6</f>
        <v>20.350322173766472</v>
      </c>
      <c r="G55" s="109">
        <f>'5-2. 30년이상 건축물(시군구별) '!G55</f>
        <v>905614.58299999998</v>
      </c>
      <c r="H55" s="110">
        <f>G55/$D$6</f>
        <v>6.4957256503869685</v>
      </c>
    </row>
    <row r="56" spans="2:8" ht="18" customHeight="1">
      <c r="B56" s="66" t="s">
        <v>1051</v>
      </c>
      <c r="C56" s="66" t="s">
        <v>1066</v>
      </c>
      <c r="D56" s="108">
        <v>158958</v>
      </c>
      <c r="E56" s="109">
        <f>'5-2. 30년이상 건축물(시군구별) '!D56</f>
        <v>20589585.889449999</v>
      </c>
      <c r="F56" s="110">
        <f t="shared" si="0"/>
        <v>147.68346678991801</v>
      </c>
      <c r="G56" s="109">
        <f>'5-2. 30년이상 건축물(시군구별) '!G56</f>
        <v>6113777.5487500001</v>
      </c>
      <c r="H56" s="110">
        <f t="shared" si="1"/>
        <v>43.852453780744099</v>
      </c>
    </row>
    <row r="57" spans="2:8" ht="18" customHeight="1">
      <c r="B57" s="66" t="s">
        <v>1051</v>
      </c>
      <c r="C57" s="66" t="s">
        <v>1091</v>
      </c>
      <c r="D57" s="108">
        <v>59482</v>
      </c>
      <c r="E57" s="109">
        <f>'5-2. 30년이상 건축물(시군구별) '!D57</f>
        <v>5129735.3207999999</v>
      </c>
      <c r="F57" s="110">
        <f t="shared" si="0"/>
        <v>36.7941880889705</v>
      </c>
      <c r="G57" s="109">
        <f>'5-2. 30년이상 건축물(시군구별) '!G57</f>
        <v>2196744.2999999998</v>
      </c>
      <c r="H57" s="110">
        <f t="shared" si="1"/>
        <v>15.756645889669121</v>
      </c>
    </row>
    <row r="58" spans="2:8" ht="18" customHeight="1">
      <c r="B58" s="66" t="s">
        <v>1051</v>
      </c>
      <c r="C58" s="66" t="s">
        <v>1107</v>
      </c>
      <c r="D58" s="108">
        <v>405995</v>
      </c>
      <c r="E58" s="109">
        <f>'5-2. 30년이상 건축물(시군구별) '!D58</f>
        <v>24779776.480700001</v>
      </c>
      <c r="F58" s="110">
        <f t="shared" si="0"/>
        <v>177.73855756973683</v>
      </c>
      <c r="G58" s="109">
        <f>'5-2. 30년이상 건축물(시군구별) '!G58</f>
        <v>13616629.626599999</v>
      </c>
      <c r="H58" s="110">
        <f t="shared" si="1"/>
        <v>97.66835914271573</v>
      </c>
    </row>
    <row r="59" spans="2:8" ht="18" customHeight="1">
      <c r="B59" s="66" t="s">
        <v>1051</v>
      </c>
      <c r="C59" s="66" t="s">
        <v>1108</v>
      </c>
      <c r="D59" s="108">
        <v>392416</v>
      </c>
      <c r="E59" s="109">
        <f>'5-2. 30년이상 건축물(시군구별) '!D59</f>
        <v>32487505.318100002</v>
      </c>
      <c r="F59" s="110">
        <f t="shared" si="0"/>
        <v>233.02398787880963</v>
      </c>
      <c r="G59" s="109">
        <f>'5-2. 30년이상 건축물(시군구별) '!G59</f>
        <v>15487348.3343</v>
      </c>
      <c r="H59" s="110">
        <f t="shared" si="1"/>
        <v>111.08651265125486</v>
      </c>
    </row>
    <row r="60" spans="2:8" ht="18" customHeight="1">
      <c r="B60" s="66" t="s">
        <v>1051</v>
      </c>
      <c r="C60" s="66" t="s">
        <v>1109</v>
      </c>
      <c r="D60" s="108">
        <v>492415</v>
      </c>
      <c r="E60" s="109">
        <f>'5-2. 30년이상 건축물(시군구별) '!D60</f>
        <v>37882488.9485</v>
      </c>
      <c r="F60" s="110">
        <f t="shared" si="0"/>
        <v>271.72072952724562</v>
      </c>
      <c r="G60" s="109">
        <f>'5-2. 30년이상 건축물(시군구별) '!G60</f>
        <v>18139922.603500001</v>
      </c>
      <c r="H60" s="110">
        <f t="shared" si="1"/>
        <v>130.11270220633065</v>
      </c>
    </row>
    <row r="61" spans="2:8" ht="18" customHeight="1">
      <c r="B61" s="66" t="s">
        <v>1051</v>
      </c>
      <c r="C61" s="66" t="s">
        <v>1110</v>
      </c>
      <c r="D61" s="108">
        <v>494138</v>
      </c>
      <c r="E61" s="109">
        <f>'5-2. 30년이상 건축물(시군구별) '!D61</f>
        <v>28274225.3125</v>
      </c>
      <c r="F61" s="110">
        <f t="shared" si="0"/>
        <v>202.80328304654381</v>
      </c>
      <c r="G61" s="109">
        <f>'5-2. 30년이상 건축물(시군구별) '!G61</f>
        <v>15300651.0909</v>
      </c>
      <c r="H61" s="110">
        <f t="shared" si="1"/>
        <v>109.7473844000373</v>
      </c>
    </row>
    <row r="62" spans="2:8" ht="18" customHeight="1">
      <c r="B62" s="66" t="s">
        <v>1051</v>
      </c>
      <c r="C62" s="66" t="s">
        <v>1111</v>
      </c>
      <c r="D62" s="108">
        <v>280266</v>
      </c>
      <c r="E62" s="109">
        <f>'5-2. 30년이상 건축물(시군구별) '!D62</f>
        <v>15896811.5198</v>
      </c>
      <c r="F62" s="110">
        <f t="shared" si="0"/>
        <v>114.02348006197235</v>
      </c>
      <c r="G62" s="109">
        <f>'5-2. 30년이상 건축물(시군구별) '!G62</f>
        <v>9450540.9462000001</v>
      </c>
      <c r="H62" s="110">
        <f t="shared" si="1"/>
        <v>67.786144775744702</v>
      </c>
    </row>
    <row r="63" spans="2:8" ht="18" customHeight="1">
      <c r="B63" s="66" t="s">
        <v>1051</v>
      </c>
      <c r="C63" s="66" t="s">
        <v>1090</v>
      </c>
      <c r="D63" s="108">
        <v>624358</v>
      </c>
      <c r="E63" s="109">
        <f>'5-2. 30년이상 건축물(시군구별) '!D63</f>
        <v>48514246.321699999</v>
      </c>
      <c r="F63" s="110">
        <f t="shared" si="0"/>
        <v>347.97941658262624</v>
      </c>
      <c r="G63" s="109">
        <f>'5-2. 30년이상 건축물(시군구별) '!G63</f>
        <v>23004523.048999999</v>
      </c>
      <c r="H63" s="110">
        <f t="shared" si="1"/>
        <v>165.00515036903676</v>
      </c>
    </row>
    <row r="64" spans="2:8" ht="18" customHeight="1">
      <c r="B64" s="66" t="s">
        <v>1051</v>
      </c>
      <c r="C64" s="66" t="s">
        <v>1112</v>
      </c>
      <c r="D64" s="108">
        <v>69005</v>
      </c>
      <c r="E64" s="109">
        <f>'5-2. 30년이상 건축물(시군구별) '!D64</f>
        <v>7236739.8240999999</v>
      </c>
      <c r="F64" s="110">
        <f t="shared" si="0"/>
        <v>51.907154967471683</v>
      </c>
      <c r="G64" s="109">
        <f>'5-2. 30년이상 건축물(시군구별) '!G64</f>
        <v>3256713.8349000001</v>
      </c>
      <c r="H64" s="110">
        <f t="shared" si="1"/>
        <v>23.359517382385221</v>
      </c>
    </row>
    <row r="65" spans="2:8" ht="18" customHeight="1">
      <c r="B65" s="66" t="s">
        <v>1051</v>
      </c>
      <c r="C65" s="66" t="s">
        <v>1113</v>
      </c>
      <c r="D65" s="108">
        <v>20377</v>
      </c>
      <c r="E65" s="109">
        <f>'5-2. 30년이상 건축물(시군구별) '!D65</f>
        <v>2246877.9629000002</v>
      </c>
      <c r="F65" s="110">
        <f t="shared" si="0"/>
        <v>16.116240938336073</v>
      </c>
      <c r="G65" s="109">
        <f>'5-2. 30년이상 건축물(시군구별) '!G65</f>
        <v>848608.34519999998</v>
      </c>
      <c r="H65" s="110">
        <f t="shared" si="1"/>
        <v>6.0868355021267133</v>
      </c>
    </row>
    <row r="66" spans="2:8" ht="18" customHeight="1">
      <c r="B66" s="66" t="s">
        <v>1052</v>
      </c>
      <c r="C66" s="66" t="s">
        <v>1091</v>
      </c>
      <c r="D66" s="108">
        <v>107176</v>
      </c>
      <c r="E66" s="109">
        <f>'5-2. 30년이상 건축물(시군구별) '!D66</f>
        <v>9818062.1829000004</v>
      </c>
      <c r="F66" s="110">
        <f t="shared" si="0"/>
        <v>70.422274061986698</v>
      </c>
      <c r="G66" s="109">
        <f>'5-2. 30년이상 건축물(시군구별) '!G66</f>
        <v>4733788.6370999999</v>
      </c>
      <c r="H66" s="110">
        <f t="shared" si="1"/>
        <v>33.954170847887987</v>
      </c>
    </row>
    <row r="67" spans="2:8" ht="18" customHeight="1">
      <c r="B67" s="66" t="s">
        <v>1052</v>
      </c>
      <c r="C67" s="66" t="s">
        <v>1090</v>
      </c>
      <c r="D67" s="108">
        <v>283991</v>
      </c>
      <c r="E67" s="109">
        <f>'5-2. 30년이상 건축물(시군구별) '!D67</f>
        <v>21202314.967300002</v>
      </c>
      <c r="F67" s="110">
        <f t="shared" si="0"/>
        <v>152.07840483800399</v>
      </c>
      <c r="G67" s="109">
        <f>'5-2. 30년이상 건축물(시군구별) '!G67</f>
        <v>11973601.082599999</v>
      </c>
      <c r="H67" s="110">
        <f t="shared" si="1"/>
        <v>85.883364888069593</v>
      </c>
    </row>
    <row r="68" spans="2:8" ht="18" customHeight="1">
      <c r="B68" s="66" t="s">
        <v>1052</v>
      </c>
      <c r="C68" s="66" t="s">
        <v>1095</v>
      </c>
      <c r="D68" s="108">
        <v>209646</v>
      </c>
      <c r="E68" s="109">
        <f>'5-2. 30년이상 건축물(시군구별) '!D68</f>
        <v>15631947.9966</v>
      </c>
      <c r="F68" s="110">
        <f t="shared" si="0"/>
        <v>112.12368647008614</v>
      </c>
      <c r="G68" s="109">
        <f>'5-2. 30년이상 건축물(시군구별) '!G68</f>
        <v>9883694.5159000009</v>
      </c>
      <c r="H68" s="110">
        <f t="shared" si="1"/>
        <v>70.893036831232934</v>
      </c>
    </row>
    <row r="69" spans="2:8" ht="18" customHeight="1">
      <c r="B69" s="66" t="s">
        <v>1052</v>
      </c>
      <c r="C69" s="66" t="s">
        <v>1096</v>
      </c>
      <c r="D69" s="108">
        <v>421683</v>
      </c>
      <c r="E69" s="109">
        <f>'5-2. 30년이상 건축물(시군구별) '!D69</f>
        <v>29288490.041299999</v>
      </c>
      <c r="F69" s="110">
        <f t="shared" si="0"/>
        <v>210.07832646879504</v>
      </c>
      <c r="G69" s="109">
        <f>'5-2. 30년이상 건축물(시군구별) '!G69</f>
        <v>16990415.7434</v>
      </c>
      <c r="H69" s="110">
        <f t="shared" si="1"/>
        <v>121.86760397512498</v>
      </c>
    </row>
    <row r="70" spans="2:8" ht="18" customHeight="1">
      <c r="B70" s="66" t="s">
        <v>1052</v>
      </c>
      <c r="C70" s="66" t="s">
        <v>1114</v>
      </c>
      <c r="D70" s="108">
        <v>396741</v>
      </c>
      <c r="E70" s="109">
        <f>'5-2. 30년이상 건축물(시군구별) '!D70</f>
        <v>34170759.302599996</v>
      </c>
      <c r="F70" s="110">
        <f t="shared" si="0"/>
        <v>245.09750821348899</v>
      </c>
      <c r="G70" s="109">
        <f>'5-2. 30년이상 건축물(시군구별) '!G70</f>
        <v>16275577.9385</v>
      </c>
      <c r="H70" s="110">
        <f t="shared" si="1"/>
        <v>116.74026796230015</v>
      </c>
    </row>
    <row r="71" spans="2:8" ht="18" customHeight="1">
      <c r="B71" s="66" t="s">
        <v>1053</v>
      </c>
      <c r="C71" s="66" t="s">
        <v>1091</v>
      </c>
      <c r="D71" s="108">
        <v>217628</v>
      </c>
      <c r="E71" s="109">
        <f>'5-2. 30년이상 건축물(시군구별) '!D71</f>
        <v>14520421.5319</v>
      </c>
      <c r="F71" s="110">
        <f t="shared" si="0"/>
        <v>104.15101122459959</v>
      </c>
      <c r="G71" s="109">
        <f>'5-2. 30년이상 건축물(시군구별) '!G71</f>
        <v>8417828.1392999999</v>
      </c>
      <c r="H71" s="110">
        <f t="shared" si="1"/>
        <v>60.378778336214381</v>
      </c>
    </row>
    <row r="72" spans="2:8" ht="18" customHeight="1">
      <c r="B72" s="66" t="s">
        <v>1053</v>
      </c>
      <c r="C72" s="66" t="s">
        <v>1066</v>
      </c>
      <c r="D72" s="108">
        <v>223256</v>
      </c>
      <c r="E72" s="109">
        <f>'5-2. 30년이상 건축물(시군구별) '!D72</f>
        <v>15387201.7422</v>
      </c>
      <c r="F72" s="110">
        <f t="shared" ref="F72:F135" si="2">E72/$D$6</f>
        <v>110.36818854372136</v>
      </c>
      <c r="G72" s="109">
        <f>'5-2. 30년이상 건축물(시군구별) '!G72</f>
        <v>8940366.7309000008</v>
      </c>
      <c r="H72" s="110">
        <f t="shared" ref="H72:H135" si="3">G72/$D$6</f>
        <v>64.126804700287636</v>
      </c>
    </row>
    <row r="73" spans="2:8" ht="18" customHeight="1">
      <c r="B73" s="66" t="s">
        <v>1053</v>
      </c>
      <c r="C73" s="66" t="s">
        <v>1090</v>
      </c>
      <c r="D73" s="108">
        <v>464634</v>
      </c>
      <c r="E73" s="109">
        <f>'5-2. 30년이상 건축물(시군구별) '!D73</f>
        <v>35150129.079499997</v>
      </c>
      <c r="F73" s="110">
        <f t="shared" si="2"/>
        <v>252.12225969214657</v>
      </c>
      <c r="G73" s="109">
        <f>'5-2. 30년이상 건축물(시군구별) '!G73</f>
        <v>17469105.595699999</v>
      </c>
      <c r="H73" s="110">
        <f t="shared" si="3"/>
        <v>125.30111532811637</v>
      </c>
    </row>
    <row r="74" spans="2:8" ht="18" customHeight="1">
      <c r="B74" s="66" t="s">
        <v>1053</v>
      </c>
      <c r="C74" s="66" t="s">
        <v>1115</v>
      </c>
      <c r="D74" s="108">
        <v>366845</v>
      </c>
      <c r="E74" s="109">
        <f>'5-2. 30년이상 건축물(시군구별) '!D74</f>
        <v>36201811.999449998</v>
      </c>
      <c r="F74" s="110">
        <f t="shared" si="2"/>
        <v>259.66569356283668</v>
      </c>
      <c r="G74" s="109">
        <f>'5-2. 30년이상 건축물(시군구별) '!G74</f>
        <v>15986973.703</v>
      </c>
      <c r="H74" s="110">
        <f t="shared" si="3"/>
        <v>114.67018873595042</v>
      </c>
    </row>
    <row r="75" spans="2:8" ht="18" customHeight="1">
      <c r="B75" s="66" t="s">
        <v>1053</v>
      </c>
      <c r="C75" s="66" t="s">
        <v>1116</v>
      </c>
      <c r="D75" s="108">
        <v>169853</v>
      </c>
      <c r="E75" s="109">
        <f>'5-2. 30년이상 건축물(시군구별) '!D75</f>
        <v>15092352.948799999</v>
      </c>
      <c r="F75" s="110">
        <f t="shared" si="2"/>
        <v>108.25331881190959</v>
      </c>
      <c r="G75" s="109">
        <f>'5-2. 30년이상 건축물(시군구별) '!G75</f>
        <v>6466498.1396000003</v>
      </c>
      <c r="H75" s="110">
        <f t="shared" si="3"/>
        <v>46.382422083390118</v>
      </c>
    </row>
    <row r="76" spans="2:8" ht="18" customHeight="1">
      <c r="B76" s="66" t="s">
        <v>1054</v>
      </c>
      <c r="C76" s="66" t="s">
        <v>1066</v>
      </c>
      <c r="D76" s="108">
        <v>208668</v>
      </c>
      <c r="E76" s="109">
        <f>'5-2. 30년이상 건축물(시군구별) '!D76</f>
        <v>12616138.869899999</v>
      </c>
      <c r="F76" s="110">
        <f t="shared" si="2"/>
        <v>90.492112654123957</v>
      </c>
      <c r="G76" s="109">
        <f>'5-2. 30년이상 건축물(시군구별) '!G76</f>
        <v>8132855.9617999997</v>
      </c>
      <c r="H76" s="110">
        <f t="shared" si="3"/>
        <v>58.334750868258531</v>
      </c>
    </row>
    <row r="77" spans="2:8" ht="18" customHeight="1">
      <c r="B77" s="66" t="s">
        <v>1054</v>
      </c>
      <c r="C77" s="66" t="s">
        <v>1095</v>
      </c>
      <c r="D77" s="108">
        <v>307232</v>
      </c>
      <c r="E77" s="109">
        <f>'5-2. 30년이상 건축물(시군구별) '!D77</f>
        <v>28833283.192000002</v>
      </c>
      <c r="F77" s="110">
        <f t="shared" si="2"/>
        <v>206.81325227196112</v>
      </c>
      <c r="G77" s="109">
        <f>'5-2. 30년이상 건축물(시군구별) '!G77</f>
        <v>12624711.5441</v>
      </c>
      <c r="H77" s="110">
        <f t="shared" si="3"/>
        <v>90.553602100891567</v>
      </c>
    </row>
    <row r="78" spans="2:8" ht="18" customHeight="1">
      <c r="B78" s="66" t="s">
        <v>1054</v>
      </c>
      <c r="C78" s="66" t="s">
        <v>1091</v>
      </c>
      <c r="D78" s="108">
        <v>152287</v>
      </c>
      <c r="E78" s="109">
        <f>'5-2. 30년이상 건축물(시군구별) '!D78</f>
        <v>11502082.37675</v>
      </c>
      <c r="F78" s="110">
        <f t="shared" si="2"/>
        <v>82.501290206717968</v>
      </c>
      <c r="G78" s="109">
        <f>'5-2. 30년이상 건축물(시군구별) '!G78</f>
        <v>6067121.2772000004</v>
      </c>
      <c r="H78" s="110">
        <f t="shared" si="3"/>
        <v>43.517801108903505</v>
      </c>
    </row>
    <row r="79" spans="2:8" ht="18" customHeight="1">
      <c r="B79" s="66" t="s">
        <v>1054</v>
      </c>
      <c r="C79" s="66" t="s">
        <v>1096</v>
      </c>
      <c r="D79" s="108">
        <v>216477</v>
      </c>
      <c r="E79" s="109">
        <f>'5-2. 30년이상 건축물(시군구별) '!D79</f>
        <v>18100812.814100001</v>
      </c>
      <c r="F79" s="110">
        <f t="shared" si="2"/>
        <v>129.83217838642346</v>
      </c>
      <c r="G79" s="109">
        <f>'5-2. 30년이상 건축물(시군구별) '!G79</f>
        <v>8772267.5785000008</v>
      </c>
      <c r="H79" s="110">
        <f t="shared" si="3"/>
        <v>62.921075467841085</v>
      </c>
    </row>
    <row r="80" spans="2:8" ht="18" customHeight="1">
      <c r="B80" s="66" t="s">
        <v>1054</v>
      </c>
      <c r="C80" s="66" t="s">
        <v>1117</v>
      </c>
      <c r="D80" s="108">
        <v>218997</v>
      </c>
      <c r="E80" s="109">
        <f>'5-2. 30년이상 건축물(시군구별) '!D80</f>
        <v>23758511.829300001</v>
      </c>
      <c r="F80" s="110">
        <f t="shared" si="2"/>
        <v>170.41330561767936</v>
      </c>
      <c r="G80" s="109">
        <f>'5-2. 30년이상 건축물(시군구별) '!G80</f>
        <v>8761591.5695999991</v>
      </c>
      <c r="H80" s="110">
        <f t="shared" si="3"/>
        <v>62.844499376690067</v>
      </c>
    </row>
    <row r="81" spans="2:8" ht="18" customHeight="1">
      <c r="B81" s="66" t="s">
        <v>1055</v>
      </c>
      <c r="C81" s="66"/>
      <c r="D81" s="108">
        <v>386525</v>
      </c>
      <c r="E81" s="109">
        <f>'5-2. 30년이상 건축물(시군구별) '!D81</f>
        <v>31939699.539299998</v>
      </c>
      <c r="F81" s="110">
        <f t="shared" si="2"/>
        <v>229.09472689342044</v>
      </c>
      <c r="G81" s="109">
        <f>'5-2. 30년이상 건축물(시군구별) '!G81</f>
        <v>16035867.659299999</v>
      </c>
      <c r="H81" s="110">
        <f t="shared" si="3"/>
        <v>115.02089170832825</v>
      </c>
    </row>
    <row r="82" spans="2:8" ht="18" customHeight="1">
      <c r="B82" s="66" t="s">
        <v>1056</v>
      </c>
      <c r="C82" s="66" t="s">
        <v>1118</v>
      </c>
      <c r="D82" s="108">
        <v>270849</v>
      </c>
      <c r="E82" s="109">
        <f>'5-2. 30년이상 건축물(시군구별) '!D82</f>
        <v>14351072.511299999</v>
      </c>
      <c r="F82" s="110">
        <f t="shared" si="2"/>
        <v>102.93631702948707</v>
      </c>
      <c r="G82" s="109">
        <f>'5-2. 30년이상 건축물(시군구별) '!G82</f>
        <v>9234494.3840999994</v>
      </c>
      <c r="H82" s="110">
        <f t="shared" si="3"/>
        <v>66.236501890730679</v>
      </c>
    </row>
    <row r="83" spans="2:8" ht="18" customHeight="1">
      <c r="B83" s="66" t="s">
        <v>1056</v>
      </c>
      <c r="C83" s="66" t="s">
        <v>1119</v>
      </c>
      <c r="D83" s="108">
        <v>366167</v>
      </c>
      <c r="E83" s="109">
        <f>'5-2. 30년이상 건축물(시군구별) '!D83</f>
        <v>22456258.633900002</v>
      </c>
      <c r="F83" s="110">
        <f t="shared" si="2"/>
        <v>161.07259971093913</v>
      </c>
      <c r="G83" s="109">
        <f>'5-2. 30년이상 건축물(시군구별) '!G83</f>
        <v>13029103.941099999</v>
      </c>
      <c r="H83" s="110">
        <f t="shared" si="3"/>
        <v>93.454198132939311</v>
      </c>
    </row>
    <row r="84" spans="2:8" ht="18" customHeight="1">
      <c r="B84" s="66" t="s">
        <v>1056</v>
      </c>
      <c r="C84" s="66" t="s">
        <v>1120</v>
      </c>
      <c r="D84" s="108">
        <v>197213</v>
      </c>
      <c r="E84" s="109">
        <f>'5-2. 30년이상 건축물(시군구별) '!D84</f>
        <v>13606402.328500001</v>
      </c>
      <c r="F84" s="110">
        <f t="shared" si="2"/>
        <v>97.595001531377093</v>
      </c>
      <c r="G84" s="109">
        <f>'5-2. 30년이상 건축물(시군구별) '!G84</f>
        <v>6549463.1426999997</v>
      </c>
      <c r="H84" s="110">
        <f t="shared" si="3"/>
        <v>46.977507353479126</v>
      </c>
    </row>
    <row r="85" spans="2:8" ht="18" customHeight="1">
      <c r="B85" s="66" t="s">
        <v>1056</v>
      </c>
      <c r="C85" s="66" t="s">
        <v>1121</v>
      </c>
      <c r="D85" s="108">
        <v>363028</v>
      </c>
      <c r="E85" s="109">
        <f>'5-2. 30년이상 건축물(시군구별) '!D85</f>
        <v>28283351.285700001</v>
      </c>
      <c r="F85" s="110">
        <f t="shared" si="2"/>
        <v>202.86874115566968</v>
      </c>
      <c r="G85" s="109">
        <f>'5-2. 30년이상 건축물(시군구별) '!G85</f>
        <v>12763090.0699</v>
      </c>
      <c r="H85" s="110">
        <f t="shared" si="3"/>
        <v>91.546153409555515</v>
      </c>
    </row>
    <row r="86" spans="2:8" ht="18" customHeight="1">
      <c r="B86" s="66" t="s">
        <v>1056</v>
      </c>
      <c r="C86" s="66" t="s">
        <v>1122</v>
      </c>
      <c r="D86" s="108">
        <v>235942</v>
      </c>
      <c r="E86" s="109">
        <f>'5-2. 30년이상 건축물(시군구별) '!D86</f>
        <v>13922631.827199999</v>
      </c>
      <c r="F86" s="110">
        <f t="shared" si="2"/>
        <v>99.863229213080174</v>
      </c>
      <c r="G86" s="109">
        <f>'5-2. 30년이상 건축물(시군구별) '!G86</f>
        <v>6734816.9275000002</v>
      </c>
      <c r="H86" s="110">
        <f t="shared" si="3"/>
        <v>48.306999343695537</v>
      </c>
    </row>
    <row r="87" spans="2:8" ht="18" customHeight="1">
      <c r="B87" s="66" t="s">
        <v>1056</v>
      </c>
      <c r="C87" s="66" t="s">
        <v>1123</v>
      </c>
      <c r="D87" s="108">
        <v>210848</v>
      </c>
      <c r="E87" s="109">
        <f>'5-2. 30년이상 건축물(시군구별) '!D87</f>
        <v>12755613.4366</v>
      </c>
      <c r="F87" s="110">
        <f t="shared" si="2"/>
        <v>91.492525564314249</v>
      </c>
      <c r="G87" s="109">
        <f>'5-2. 30년이상 건축물(시군구별) '!G87</f>
        <v>6133313.6984000001</v>
      </c>
      <c r="H87" s="110">
        <f t="shared" si="3"/>
        <v>43.992581237582215</v>
      </c>
    </row>
    <row r="88" spans="2:8" ht="18" customHeight="1">
      <c r="B88" s="66" t="s">
        <v>1056</v>
      </c>
      <c r="C88" s="66" t="s">
        <v>1124</v>
      </c>
      <c r="D88" s="108">
        <v>472957</v>
      </c>
      <c r="E88" s="109">
        <f>'5-2. 30년이상 건축물(시군구별) '!D88</f>
        <v>63820014.963600002</v>
      </c>
      <c r="F88" s="110">
        <f t="shared" si="2"/>
        <v>457.76350777595275</v>
      </c>
      <c r="G88" s="109">
        <f>'5-2. 30년이상 건축물(시군구별) '!G88</f>
        <v>22543217.915800001</v>
      </c>
      <c r="H88" s="110">
        <f t="shared" si="3"/>
        <v>161.69633485012588</v>
      </c>
    </row>
    <row r="89" spans="2:8" ht="18" customHeight="1">
      <c r="B89" s="66" t="s">
        <v>1056</v>
      </c>
      <c r="C89" s="66" t="s">
        <v>1125</v>
      </c>
      <c r="D89" s="108">
        <v>464213</v>
      </c>
      <c r="E89" s="109">
        <f>'5-2. 30년이상 건축물(시군구별) '!D89</f>
        <v>25549267.9355</v>
      </c>
      <c r="F89" s="110">
        <f t="shared" si="2"/>
        <v>183.25790926142435</v>
      </c>
      <c r="G89" s="109">
        <f>'5-2. 30년이상 건축물(시군구별) '!G89</f>
        <v>15412293.544</v>
      </c>
      <c r="H89" s="110">
        <f t="shared" si="3"/>
        <v>110.54816517354412</v>
      </c>
    </row>
    <row r="90" spans="2:8" ht="18" customHeight="1">
      <c r="B90" s="66" t="s">
        <v>1056</v>
      </c>
      <c r="C90" s="66" t="s">
        <v>1126</v>
      </c>
      <c r="D90" s="108">
        <v>230664</v>
      </c>
      <c r="E90" s="109">
        <f>'5-2. 30년이상 건축물(시군구별) '!D90</f>
        <v>13449042.4583</v>
      </c>
      <c r="F90" s="110">
        <f t="shared" si="2"/>
        <v>96.466302232152458</v>
      </c>
      <c r="G90" s="109">
        <f>'5-2. 30년이상 건축물(시군구별) '!G90</f>
        <v>7032184.7887000004</v>
      </c>
      <c r="H90" s="110">
        <f t="shared" si="3"/>
        <v>50.439937659682826</v>
      </c>
    </row>
    <row r="91" spans="2:8" ht="18" customHeight="1">
      <c r="B91" s="66" t="s">
        <v>1056</v>
      </c>
      <c r="C91" s="66" t="s">
        <v>1127</v>
      </c>
      <c r="D91" s="108">
        <v>313996</v>
      </c>
      <c r="E91" s="109">
        <f>'5-2. 30년이상 건축물(시군구별) '!D91</f>
        <v>21644106.162799999</v>
      </c>
      <c r="F91" s="110">
        <f t="shared" si="2"/>
        <v>155.24725222031745</v>
      </c>
      <c r="G91" s="109">
        <f>'5-2. 30년이상 건축물(시군구별) '!G91</f>
        <v>10242240.124199999</v>
      </c>
      <c r="H91" s="110">
        <f t="shared" si="3"/>
        <v>73.464786390468873</v>
      </c>
    </row>
    <row r="92" spans="2:8" ht="18" customHeight="1">
      <c r="B92" s="66" t="s">
        <v>1056</v>
      </c>
      <c r="C92" s="66" t="s">
        <v>1128</v>
      </c>
      <c r="D92" s="108">
        <v>779968</v>
      </c>
      <c r="E92" s="109">
        <f>'5-2. 30년이상 건축물(시군구별) '!D92</f>
        <v>54335958.636440001</v>
      </c>
      <c r="F92" s="110">
        <f t="shared" si="2"/>
        <v>389.7369663415509</v>
      </c>
      <c r="G92" s="109">
        <f>'5-2. 30년이상 건축물(시군구별) '!G92</f>
        <v>25536864.210299999</v>
      </c>
      <c r="H92" s="110">
        <f t="shared" si="3"/>
        <v>183.16894073391336</v>
      </c>
    </row>
    <row r="93" spans="2:8" ht="18" customHeight="1">
      <c r="B93" s="66" t="s">
        <v>1056</v>
      </c>
      <c r="C93" s="66" t="s">
        <v>1129</v>
      </c>
      <c r="D93" s="108">
        <v>280197</v>
      </c>
      <c r="E93" s="109">
        <f>'5-2. 30년이상 건축물(시군구별) '!D93</f>
        <v>16273158.7127</v>
      </c>
      <c r="F93" s="110">
        <f t="shared" si="2"/>
        <v>116.72291551747635</v>
      </c>
      <c r="G93" s="109">
        <f>'5-2. 30년이상 건축물(시군구별) '!G93</f>
        <v>9038913.5165999997</v>
      </c>
      <c r="H93" s="110">
        <f t="shared" si="3"/>
        <v>64.833653834180907</v>
      </c>
    </row>
    <row r="94" spans="2:8" ht="18" customHeight="1">
      <c r="B94" s="66" t="s">
        <v>1056</v>
      </c>
      <c r="C94" s="66" t="s">
        <v>1130</v>
      </c>
      <c r="D94" s="108">
        <v>591022</v>
      </c>
      <c r="E94" s="109">
        <f>'5-2. 30년이상 건축물(시군구별) '!D94</f>
        <v>79609898.248685002</v>
      </c>
      <c r="F94" s="110">
        <f t="shared" si="2"/>
        <v>571.02002086320181</v>
      </c>
      <c r="G94" s="109">
        <f>'5-2. 30년이상 건축물(시군구별) '!G94</f>
        <v>25373765.321180001</v>
      </c>
      <c r="H94" s="110">
        <f t="shared" si="3"/>
        <v>181.99907702202745</v>
      </c>
    </row>
    <row r="95" spans="2:8" ht="18" customHeight="1">
      <c r="B95" s="66" t="s">
        <v>1056</v>
      </c>
      <c r="C95" s="66" t="s">
        <v>1131</v>
      </c>
      <c r="D95" s="108">
        <v>88626</v>
      </c>
      <c r="E95" s="109">
        <f>'5-2. 30년이상 건축물(시군구별) '!D95</f>
        <v>6308025.3191999998</v>
      </c>
      <c r="F95" s="110">
        <f t="shared" si="2"/>
        <v>45.245739896856193</v>
      </c>
      <c r="G95" s="109">
        <f>'5-2. 30년이상 건축물(시군구별) '!G95</f>
        <v>3417636.5515999999</v>
      </c>
      <c r="H95" s="110">
        <f t="shared" si="3"/>
        <v>24.513772004848761</v>
      </c>
    </row>
    <row r="96" spans="2:8" ht="18" customHeight="1">
      <c r="B96" s="66" t="s">
        <v>1056</v>
      </c>
      <c r="C96" s="66" t="s">
        <v>1132</v>
      </c>
      <c r="D96" s="108">
        <v>334867</v>
      </c>
      <c r="E96" s="109">
        <f>'5-2. 30년이상 건축물(시군구별) '!D96</f>
        <v>18292387.913400002</v>
      </c>
      <c r="F96" s="110">
        <f t="shared" si="2"/>
        <v>131.20629416355251</v>
      </c>
      <c r="G96" s="109">
        <f>'5-2. 30년이상 건축물(시군구별) '!G96</f>
        <v>11496371.0966</v>
      </c>
      <c r="H96" s="110">
        <f t="shared" si="3"/>
        <v>82.460324756665258</v>
      </c>
    </row>
    <row r="97" spans="2:8" ht="18" customHeight="1">
      <c r="B97" s="66" t="s">
        <v>1056</v>
      </c>
      <c r="C97" s="66" t="s">
        <v>1133</v>
      </c>
      <c r="D97" s="108">
        <v>294441</v>
      </c>
      <c r="E97" s="109">
        <f>'5-2. 30년이상 건축물(시군구별) '!D97</f>
        <v>31570284.976939999</v>
      </c>
      <c r="F97" s="110">
        <f t="shared" si="2"/>
        <v>226.44501730018575</v>
      </c>
      <c r="G97" s="109">
        <f>'5-2. 30년이상 건축물(시군구별) '!G97</f>
        <v>10155385.846340001</v>
      </c>
      <c r="H97" s="110">
        <f t="shared" si="3"/>
        <v>72.841804416534572</v>
      </c>
    </row>
    <row r="98" spans="2:8" ht="18" customHeight="1">
      <c r="B98" s="66" t="s">
        <v>1056</v>
      </c>
      <c r="C98" s="66" t="s">
        <v>1134</v>
      </c>
      <c r="D98" s="108">
        <v>496438</v>
      </c>
      <c r="E98" s="109">
        <f>'5-2. 30년이상 건축물(시군구별) '!D98</f>
        <v>29182585.651250001</v>
      </c>
      <c r="F98" s="110">
        <f t="shared" si="2"/>
        <v>209.31870325175552</v>
      </c>
      <c r="G98" s="109">
        <f>'5-2. 30년이상 건축물(시군구별) '!G98</f>
        <v>16294828.662450001</v>
      </c>
      <c r="H98" s="110">
        <f t="shared" si="3"/>
        <v>116.8783481386775</v>
      </c>
    </row>
    <row r="99" spans="2:8" ht="18" customHeight="1">
      <c r="B99" s="66" t="s">
        <v>1056</v>
      </c>
      <c r="C99" s="66" t="s">
        <v>1135</v>
      </c>
      <c r="D99" s="108">
        <v>291597</v>
      </c>
      <c r="E99" s="109">
        <f>'5-2. 30년이상 건축물(시군구별) '!D99</f>
        <v>24042339.5218</v>
      </c>
      <c r="F99" s="110">
        <f t="shared" si="2"/>
        <v>172.44912400783261</v>
      </c>
      <c r="G99" s="109">
        <f>'5-2. 30년이상 건축물(시군구별) '!G99</f>
        <v>10094488.6621</v>
      </c>
      <c r="H99" s="110">
        <f t="shared" si="3"/>
        <v>72.405005573925706</v>
      </c>
    </row>
    <row r="100" spans="2:8" ht="18" customHeight="1">
      <c r="B100" s="66" t="s">
        <v>1056</v>
      </c>
      <c r="C100" s="66" t="s">
        <v>1136</v>
      </c>
      <c r="D100" s="108">
        <v>286872</v>
      </c>
      <c r="E100" s="109">
        <f>'5-2. 30년이상 건축물(시군구별) '!D100</f>
        <v>17849441.245200001</v>
      </c>
      <c r="F100" s="110">
        <f t="shared" si="2"/>
        <v>128.02915889167031</v>
      </c>
      <c r="G100" s="109">
        <f>'5-2. 30년이상 건축물(시군구별) '!G100</f>
        <v>10231025.8213</v>
      </c>
      <c r="H100" s="110">
        <f t="shared" si="3"/>
        <v>73.384349263719628</v>
      </c>
    </row>
    <row r="101" spans="2:8" ht="18" customHeight="1">
      <c r="B101" s="66" t="s">
        <v>1056</v>
      </c>
      <c r="C101" s="66" t="s">
        <v>1137</v>
      </c>
      <c r="D101" s="108">
        <v>81000</v>
      </c>
      <c r="E101" s="109">
        <f>'5-2. 30년이상 건축물(시군구별) '!D101</f>
        <v>5675834.8186999997</v>
      </c>
      <c r="F101" s="110">
        <f t="shared" si="2"/>
        <v>40.71121038825968</v>
      </c>
      <c r="G101" s="109">
        <f>'5-2. 30년이상 건축물(시군구별) '!G101</f>
        <v>2777511.5414</v>
      </c>
      <c r="H101" s="110">
        <f t="shared" si="3"/>
        <v>19.922330428857311</v>
      </c>
    </row>
    <row r="102" spans="2:8" ht="18" customHeight="1">
      <c r="B102" s="66" t="s">
        <v>1056</v>
      </c>
      <c r="C102" s="66" t="s">
        <v>1138</v>
      </c>
      <c r="D102" s="108">
        <v>187093</v>
      </c>
      <c r="E102" s="109">
        <f>'5-2. 30년이상 건축물(시군구별) '!D102</f>
        <v>11733926.3816</v>
      </c>
      <c r="F102" s="110">
        <f t="shared" si="2"/>
        <v>84.164243826792998</v>
      </c>
      <c r="G102" s="109">
        <f>'5-2. 30년이상 건축물(시군구별) '!G102</f>
        <v>6208698.2982999999</v>
      </c>
      <c r="H102" s="110">
        <f t="shared" si="3"/>
        <v>44.53329434932612</v>
      </c>
    </row>
    <row r="103" spans="2:8" ht="18" customHeight="1">
      <c r="B103" s="66" t="s">
        <v>1056</v>
      </c>
      <c r="C103" s="66" t="s">
        <v>1139</v>
      </c>
      <c r="D103" s="108">
        <v>732265</v>
      </c>
      <c r="E103" s="109">
        <f>'5-2. 30년이상 건축물(시군구별) '!D103</f>
        <v>46777364.077870101</v>
      </c>
      <c r="F103" s="110">
        <f t="shared" si="2"/>
        <v>335.52123541512225</v>
      </c>
      <c r="G103" s="109">
        <f>'5-2. 30년이상 건축물(시군구별) '!G103</f>
        <v>26763134.713100001</v>
      </c>
      <c r="H103" s="110">
        <f t="shared" si="3"/>
        <v>191.96464357359577</v>
      </c>
    </row>
    <row r="104" spans="2:8" ht="18" customHeight="1">
      <c r="B104" s="66" t="s">
        <v>1056</v>
      </c>
      <c r="C104" s="66" t="s">
        <v>1140</v>
      </c>
      <c r="D104" s="108">
        <v>229656</v>
      </c>
      <c r="E104" s="109">
        <f>'5-2. 30년이상 건축물(시군구별) '!D104</f>
        <v>15154892.634299999</v>
      </c>
      <c r="F104" s="110">
        <f t="shared" si="2"/>
        <v>108.70189886670921</v>
      </c>
      <c r="G104" s="109">
        <f>'5-2. 30년이상 건축물(시군구별) '!G104</f>
        <v>8090529.8427999998</v>
      </c>
      <c r="H104" s="110">
        <f t="shared" si="3"/>
        <v>58.031157196037782</v>
      </c>
    </row>
    <row r="105" spans="2:8" ht="18" customHeight="1">
      <c r="B105" s="66" t="s">
        <v>1056</v>
      </c>
      <c r="C105" s="66" t="s">
        <v>1141</v>
      </c>
      <c r="D105" s="108">
        <v>519715</v>
      </c>
      <c r="E105" s="109">
        <f>'5-2. 30년이상 건축물(시군구별) '!D105</f>
        <v>43381166.561899997</v>
      </c>
      <c r="F105" s="110">
        <f t="shared" si="2"/>
        <v>311.16123974766344</v>
      </c>
      <c r="G105" s="109">
        <f>'5-2. 30년이상 건축물(시군구별) '!G105</f>
        <v>21657211.326400001</v>
      </c>
      <c r="H105" s="110">
        <f t="shared" si="3"/>
        <v>155.34125197357568</v>
      </c>
    </row>
    <row r="106" spans="2:8" ht="18" customHeight="1">
      <c r="B106" s="66" t="s">
        <v>1056</v>
      </c>
      <c r="C106" s="66" t="s">
        <v>1142</v>
      </c>
      <c r="D106" s="108">
        <v>261229</v>
      </c>
      <c r="E106" s="109">
        <f>'5-2. 30년이상 건축물(시군구별) '!D106</f>
        <v>20529552.9826</v>
      </c>
      <c r="F106" s="110">
        <f t="shared" si="2"/>
        <v>147.25286717258297</v>
      </c>
      <c r="G106" s="109">
        <f>'5-2. 30년이상 건축물(시군구별) '!G106</f>
        <v>9912519.1878999993</v>
      </c>
      <c r="H106" s="110">
        <f t="shared" si="3"/>
        <v>71.099788317780465</v>
      </c>
    </row>
    <row r="107" spans="2:8" ht="18" customHeight="1">
      <c r="B107" s="66" t="s">
        <v>1056</v>
      </c>
      <c r="C107" s="66" t="s">
        <v>1143</v>
      </c>
      <c r="D107" s="108">
        <v>158870</v>
      </c>
      <c r="E107" s="109">
        <f>'5-2. 30년이상 건축물(시군구별) '!D107</f>
        <v>10118964.775599999</v>
      </c>
      <c r="F107" s="110">
        <f t="shared" si="2"/>
        <v>72.580566040009458</v>
      </c>
      <c r="G107" s="109">
        <f>'5-2. 30년이상 건축물(시군구별) '!G107</f>
        <v>5691663.9069999997</v>
      </c>
      <c r="H107" s="110">
        <f t="shared" si="3"/>
        <v>40.824748108193404</v>
      </c>
    </row>
    <row r="108" spans="2:8" ht="18" customHeight="1">
      <c r="B108" s="66" t="s">
        <v>1056</v>
      </c>
      <c r="C108" s="66" t="s">
        <v>1144</v>
      </c>
      <c r="D108" s="108">
        <v>329861</v>
      </c>
      <c r="E108" s="109">
        <f>'5-2. 30년이상 건축물(시군구별) '!D108</f>
        <v>23239760.98945</v>
      </c>
      <c r="F108" s="110">
        <f t="shared" si="2"/>
        <v>166.69244776067481</v>
      </c>
      <c r="G108" s="109">
        <f>'5-2. 30년이상 건축물(시군구별) '!G108</f>
        <v>11321780.55345</v>
      </c>
      <c r="H108" s="110">
        <f t="shared" si="3"/>
        <v>81.208034554250915</v>
      </c>
    </row>
    <row r="109" spans="2:8" ht="18" customHeight="1">
      <c r="B109" s="66" t="s">
        <v>1056</v>
      </c>
      <c r="C109" s="66" t="s">
        <v>1145</v>
      </c>
      <c r="D109" s="108">
        <v>261488</v>
      </c>
      <c r="E109" s="109">
        <f>'5-2. 30년이상 건축물(시군구별) '!D109</f>
        <v>26837266.087200001</v>
      </c>
      <c r="F109" s="110">
        <f t="shared" si="2"/>
        <v>192.49636763952748</v>
      </c>
      <c r="G109" s="109">
        <f>'5-2. 30년이상 건축물(시군구별) '!G109</f>
        <v>9324295.5187999997</v>
      </c>
      <c r="H109" s="110">
        <f t="shared" si="3"/>
        <v>66.880620862592082</v>
      </c>
    </row>
    <row r="110" spans="2:8" ht="18" customHeight="1">
      <c r="B110" s="66" t="s">
        <v>1056</v>
      </c>
      <c r="C110" s="66" t="s">
        <v>1146</v>
      </c>
      <c r="D110" s="108">
        <v>436656</v>
      </c>
      <c r="E110" s="109">
        <f>'5-2. 30년이상 건축물(시군구별) '!D110</f>
        <v>30773144.566059999</v>
      </c>
      <c r="F110" s="110">
        <f t="shared" si="2"/>
        <v>220.72734721059842</v>
      </c>
      <c r="G110" s="109">
        <f>'5-2. 30년이상 건축물(시군구별) '!G110</f>
        <v>17558956.370760001</v>
      </c>
      <c r="H110" s="110">
        <f t="shared" si="3"/>
        <v>125.9455903566997</v>
      </c>
    </row>
    <row r="111" spans="2:8" ht="18" customHeight="1">
      <c r="B111" s="66" t="s">
        <v>1056</v>
      </c>
      <c r="C111" s="66" t="s">
        <v>1147</v>
      </c>
      <c r="D111" s="108">
        <v>377422</v>
      </c>
      <c r="E111" s="109">
        <f>'5-2. 30년이상 건축물(시군구별) '!D111</f>
        <v>21758891.8871</v>
      </c>
      <c r="F111" s="110">
        <f t="shared" si="2"/>
        <v>156.07057881822161</v>
      </c>
      <c r="G111" s="109">
        <f>'5-2. 30년이상 건축물(시군구별) '!G111</f>
        <v>15690805.63295</v>
      </c>
      <c r="H111" s="110">
        <f t="shared" si="3"/>
        <v>112.54585619364927</v>
      </c>
    </row>
    <row r="112" spans="2:8" ht="18" customHeight="1">
      <c r="B112" s="66" t="s">
        <v>1056</v>
      </c>
      <c r="C112" s="66" t="s">
        <v>1148</v>
      </c>
      <c r="D112" s="108">
        <v>497753</v>
      </c>
      <c r="E112" s="109">
        <f>'5-2. 30년이상 건축물(시군구별) '!D112</f>
        <v>42482095.891000003</v>
      </c>
      <c r="F112" s="110">
        <f t="shared" si="2"/>
        <v>304.71245178851933</v>
      </c>
      <c r="G112" s="109">
        <f>'5-2. 30년이상 건축물(시군구별) '!G112</f>
        <v>18406319.4498</v>
      </c>
      <c r="H112" s="110">
        <f t="shared" si="3"/>
        <v>132.02349390533436</v>
      </c>
    </row>
    <row r="113" spans="2:8" ht="18" customHeight="1">
      <c r="B113" s="66" t="s">
        <v>1056</v>
      </c>
      <c r="C113" s="66" t="s">
        <v>1149</v>
      </c>
      <c r="D113" s="108">
        <v>222098</v>
      </c>
      <c r="E113" s="109">
        <f>'5-2. 30년이상 건축물(시군구별) '!D113</f>
        <v>28563361.308200002</v>
      </c>
      <c r="F113" s="110">
        <f t="shared" si="2"/>
        <v>204.87717644333188</v>
      </c>
      <c r="G113" s="109">
        <f>'5-2. 30년이상 건축물(시군구별) '!G113</f>
        <v>8140845.6704000002</v>
      </c>
      <c r="H113" s="110">
        <f t="shared" si="3"/>
        <v>58.392058862262132</v>
      </c>
    </row>
    <row r="114" spans="2:8" ht="18" customHeight="1">
      <c r="B114" s="66" t="s">
        <v>1056</v>
      </c>
      <c r="C114" s="66" t="s">
        <v>1150</v>
      </c>
      <c r="D114" s="108">
        <v>189034</v>
      </c>
      <c r="E114" s="109">
        <f>'5-2. 30년이상 건축물(시군구별) '!D114</f>
        <v>26333177.245259002</v>
      </c>
      <c r="F114" s="110">
        <f t="shared" si="2"/>
        <v>188.88067628236874</v>
      </c>
      <c r="G114" s="109">
        <f>'5-2. 30년이상 건축물(시군구별) '!G114</f>
        <v>7597186.6384540005</v>
      </c>
      <c r="H114" s="110">
        <f t="shared" si="3"/>
        <v>54.492541357610627</v>
      </c>
    </row>
    <row r="115" spans="2:8" ht="18" customHeight="1">
      <c r="B115" s="66" t="s">
        <v>1056</v>
      </c>
      <c r="C115" s="66" t="s">
        <v>1151</v>
      </c>
      <c r="D115" s="108">
        <v>486172</v>
      </c>
      <c r="E115" s="109">
        <f>'5-2. 30년이상 건축물(시군구별) '!D115</f>
        <v>41263323.943099998</v>
      </c>
      <c r="F115" s="110">
        <f t="shared" si="2"/>
        <v>295.97053403171776</v>
      </c>
      <c r="G115" s="109">
        <f>'5-2. 30년이상 건축물(시군구별) '!G115</f>
        <v>18101566.517000001</v>
      </c>
      <c r="H115" s="110">
        <f t="shared" si="3"/>
        <v>129.83758449113094</v>
      </c>
    </row>
    <row r="116" spans="2:8" ht="18" customHeight="1">
      <c r="B116" s="66" t="s">
        <v>1056</v>
      </c>
      <c r="C116" s="66" t="s">
        <v>1152</v>
      </c>
      <c r="D116" s="108">
        <v>944342</v>
      </c>
      <c r="E116" s="109">
        <f>'5-2. 30년이상 건축물(시군구별) '!D116</f>
        <v>94455067.812099993</v>
      </c>
      <c r="F116" s="110">
        <f t="shared" si="2"/>
        <v>677.50036087492913</v>
      </c>
      <c r="G116" s="109">
        <f>'5-2. 30년이상 건축물(시군구별) '!G116</f>
        <v>38975285.467200004</v>
      </c>
      <c r="H116" s="110">
        <f t="shared" si="3"/>
        <v>279.5590599941184</v>
      </c>
    </row>
    <row r="117" spans="2:8" ht="18" customHeight="1">
      <c r="B117" s="66" t="s">
        <v>1056</v>
      </c>
      <c r="C117" s="66" t="s">
        <v>1153</v>
      </c>
      <c r="D117" s="108">
        <v>391377</v>
      </c>
      <c r="E117" s="109">
        <f>'5-2. 30년이상 건축물(시군구별) '!D117</f>
        <v>28854076.994800001</v>
      </c>
      <c r="F117" s="110">
        <f t="shared" si="2"/>
        <v>206.96240053078176</v>
      </c>
      <c r="G117" s="109">
        <f>'5-2. 30년이상 건축물(시군구별) '!G117</f>
        <v>14098079.35</v>
      </c>
      <c r="H117" s="110">
        <f t="shared" si="3"/>
        <v>101.1216662960758</v>
      </c>
    </row>
    <row r="118" spans="2:8" ht="18" customHeight="1">
      <c r="B118" s="66" t="s">
        <v>1056</v>
      </c>
      <c r="C118" s="66" t="s">
        <v>1154</v>
      </c>
      <c r="D118" s="108">
        <v>268026</v>
      </c>
      <c r="E118" s="109">
        <f>'5-2. 30년이상 건축물(시군구별) '!D118</f>
        <v>23316212.35825</v>
      </c>
      <c r="F118" s="110">
        <f t="shared" si="2"/>
        <v>167.24081251389717</v>
      </c>
      <c r="G118" s="109">
        <f>'5-2. 30년이상 건축물(시군구별) '!G118</f>
        <v>10574450.400350001</v>
      </c>
      <c r="H118" s="110">
        <f t="shared" si="3"/>
        <v>75.847639816880303</v>
      </c>
    </row>
    <row r="119" spans="2:8" ht="18" customHeight="1">
      <c r="B119" s="66" t="s">
        <v>1056</v>
      </c>
      <c r="C119" s="66" t="s">
        <v>1155</v>
      </c>
      <c r="D119" s="108">
        <v>143323</v>
      </c>
      <c r="E119" s="109">
        <f>'5-2. 30년이상 건축물(시군구별) '!D119</f>
        <v>21800004.340399999</v>
      </c>
      <c r="F119" s="110">
        <f t="shared" si="2"/>
        <v>156.36546719840479</v>
      </c>
      <c r="G119" s="109">
        <f>'5-2. 30년이상 건축물(시군구별) '!G119</f>
        <v>5058889.0224000001</v>
      </c>
      <c r="H119" s="110">
        <f t="shared" si="3"/>
        <v>36.28602697232045</v>
      </c>
    </row>
    <row r="120" spans="2:8" ht="18" customHeight="1">
      <c r="B120" s="66" t="s">
        <v>1056</v>
      </c>
      <c r="C120" s="66" t="s">
        <v>1156</v>
      </c>
      <c r="D120" s="108">
        <v>114412</v>
      </c>
      <c r="E120" s="109">
        <f>'5-2. 30년이상 건축물(시군구별) '!D120</f>
        <v>14111455.3178</v>
      </c>
      <c r="F120" s="110">
        <f t="shared" si="2"/>
        <v>101.21760845377537</v>
      </c>
      <c r="G120" s="109">
        <f>'5-2. 30년이상 건축물(시군구별) '!G120</f>
        <v>4901207.7270999998</v>
      </c>
      <c r="H120" s="110">
        <f t="shared" si="3"/>
        <v>35.155022178787377</v>
      </c>
    </row>
    <row r="121" spans="2:8" ht="18" customHeight="1">
      <c r="B121" s="66" t="s">
        <v>1056</v>
      </c>
      <c r="C121" s="66" t="s">
        <v>1157</v>
      </c>
      <c r="D121" s="108">
        <v>41584</v>
      </c>
      <c r="E121" s="109">
        <f>'5-2. 30년이상 건축물(시군구별) '!D121</f>
        <v>5182590.6766999997</v>
      </c>
      <c r="F121" s="110">
        <f t="shared" si="2"/>
        <v>37.173305096939394</v>
      </c>
      <c r="G121" s="109">
        <f>'5-2. 30년이상 건축물(시군구별) '!G121</f>
        <v>1456693.9812</v>
      </c>
      <c r="H121" s="110">
        <f t="shared" si="3"/>
        <v>10.448467412152034</v>
      </c>
    </row>
    <row r="122" spans="2:8" ht="18" customHeight="1">
      <c r="B122" s="66" t="s">
        <v>1056</v>
      </c>
      <c r="C122" s="66" t="s">
        <v>1158</v>
      </c>
      <c r="D122" s="108">
        <v>62302</v>
      </c>
      <c r="E122" s="109">
        <f>'5-2. 30년이상 건축물(시군구별) '!D122</f>
        <v>7279824.4944000002</v>
      </c>
      <c r="F122" s="110">
        <f t="shared" si="2"/>
        <v>52.216189520646694</v>
      </c>
      <c r="G122" s="109">
        <f>'5-2. 30년이상 건축물(시군구별) '!G122</f>
        <v>2982638.2463000002</v>
      </c>
      <c r="H122" s="110">
        <f t="shared" si="3"/>
        <v>21.393648165575218</v>
      </c>
    </row>
    <row r="123" spans="2:8" ht="18" customHeight="1">
      <c r="B123" s="66" t="s">
        <v>1056</v>
      </c>
      <c r="C123" s="66" t="s">
        <v>1159</v>
      </c>
      <c r="D123" s="108">
        <v>125238</v>
      </c>
      <c r="E123" s="109">
        <f>'5-2. 30년이상 건축물(시군구별) '!D123</f>
        <v>11633574.069499999</v>
      </c>
      <c r="F123" s="110">
        <f t="shared" si="2"/>
        <v>83.444444145979318</v>
      </c>
      <c r="G123" s="109">
        <f>'5-2. 30년이상 건축물(시군구별) '!G123</f>
        <v>6055324.0741999997</v>
      </c>
      <c r="H123" s="110">
        <f t="shared" si="3"/>
        <v>43.433182999203822</v>
      </c>
    </row>
    <row r="124" spans="2:8" ht="18" customHeight="1">
      <c r="B124" s="66" t="s">
        <v>1057</v>
      </c>
      <c r="C124" s="66" t="s">
        <v>1160</v>
      </c>
      <c r="D124" s="108">
        <v>286426</v>
      </c>
      <c r="E124" s="109">
        <f>'5-2. 30년이상 건축물(시군구별) '!D124</f>
        <v>22550587.388500001</v>
      </c>
      <c r="F124" s="110">
        <f t="shared" si="2"/>
        <v>161.7491940616998</v>
      </c>
      <c r="G124" s="109">
        <f>'5-2. 30년이상 건축물(시군구별) '!G124</f>
        <v>12013590.6997</v>
      </c>
      <c r="H124" s="110">
        <f t="shared" si="3"/>
        <v>86.170199471370054</v>
      </c>
    </row>
    <row r="125" spans="2:8" ht="18" customHeight="1">
      <c r="B125" s="66" t="s">
        <v>1057</v>
      </c>
      <c r="C125" s="66" t="s">
        <v>1161</v>
      </c>
      <c r="D125" s="108">
        <v>361503</v>
      </c>
      <c r="E125" s="109">
        <f>'5-2. 30년이상 건축물(시군구별) '!D125</f>
        <v>31666708.167490002</v>
      </c>
      <c r="F125" s="110">
        <f t="shared" si="2"/>
        <v>227.13663446703058</v>
      </c>
      <c r="G125" s="109">
        <f>'5-2. 30년이상 건축물(시군구별) '!G125</f>
        <v>15832769.95679</v>
      </c>
      <c r="H125" s="110">
        <f t="shared" si="3"/>
        <v>113.56412745066957</v>
      </c>
    </row>
    <row r="126" spans="2:8" ht="18" customHeight="1">
      <c r="B126" s="66" t="s">
        <v>1057</v>
      </c>
      <c r="C126" s="66" t="s">
        <v>1162</v>
      </c>
      <c r="D126" s="108">
        <v>209439</v>
      </c>
      <c r="E126" s="109">
        <f>'5-2. 30년이상 건축물(시군구별) '!D126</f>
        <v>18028413.566443</v>
      </c>
      <c r="F126" s="110">
        <f t="shared" si="2"/>
        <v>129.31287838960097</v>
      </c>
      <c r="G126" s="109">
        <f>'5-2. 30년이상 건축물(시군구별) '!G126</f>
        <v>8582504.9608430006</v>
      </c>
      <c r="H126" s="110">
        <f t="shared" si="3"/>
        <v>61.559960125687688</v>
      </c>
    </row>
    <row r="127" spans="2:8" ht="18" customHeight="1">
      <c r="B127" s="66" t="s">
        <v>1057</v>
      </c>
      <c r="C127" s="66" t="s">
        <v>1163</v>
      </c>
      <c r="D127" s="108">
        <v>88625</v>
      </c>
      <c r="E127" s="109">
        <f>'5-2. 30년이상 건축물(시군구별) '!D127</f>
        <v>7689247.3431000002</v>
      </c>
      <c r="F127" s="110">
        <f t="shared" si="2"/>
        <v>55.152867606532922</v>
      </c>
      <c r="G127" s="109">
        <f>'5-2. 30년이상 건축물(시군구별) '!G127</f>
        <v>3559979.0649000001</v>
      </c>
      <c r="H127" s="110">
        <f t="shared" si="3"/>
        <v>25.534755911402485</v>
      </c>
    </row>
    <row r="128" spans="2:8" ht="18" customHeight="1">
      <c r="B128" s="66" t="s">
        <v>1057</v>
      </c>
      <c r="C128" s="66" t="s">
        <v>1164</v>
      </c>
      <c r="D128" s="108">
        <v>38702</v>
      </c>
      <c r="E128" s="109">
        <f>'5-2. 30년이상 건축물(시군구별) '!D128</f>
        <v>3297643.8451</v>
      </c>
      <c r="F128" s="110">
        <f t="shared" si="2"/>
        <v>23.653097148123972</v>
      </c>
      <c r="G128" s="109">
        <f>'5-2. 30년이상 건축물(시군구별) '!G128</f>
        <v>1714690.8211999999</v>
      </c>
      <c r="H128" s="110">
        <f t="shared" si="3"/>
        <v>12.299008163997216</v>
      </c>
    </row>
    <row r="129" spans="2:8" ht="18" customHeight="1">
      <c r="B129" s="66" t="s">
        <v>1057</v>
      </c>
      <c r="C129" s="66" t="s">
        <v>1165</v>
      </c>
      <c r="D129" s="108">
        <v>82054</v>
      </c>
      <c r="E129" s="109">
        <f>'5-2. 30년이상 건축물(시군구별) '!D129</f>
        <v>8031777.7455000002</v>
      </c>
      <c r="F129" s="110">
        <f t="shared" si="2"/>
        <v>57.609744475207471</v>
      </c>
      <c r="G129" s="109">
        <f>'5-2. 30년이상 건축물(시군구별) '!G129</f>
        <v>3719111.7603000002</v>
      </c>
      <c r="H129" s="110">
        <f t="shared" si="3"/>
        <v>26.676171200786133</v>
      </c>
    </row>
    <row r="130" spans="2:8" ht="18" customHeight="1">
      <c r="B130" s="66" t="s">
        <v>1057</v>
      </c>
      <c r="C130" s="66" t="s">
        <v>1166</v>
      </c>
      <c r="D130" s="108">
        <v>62651</v>
      </c>
      <c r="E130" s="109">
        <f>'5-2. 30년이상 건축물(시군구별) '!D130</f>
        <v>5549423.1447000001</v>
      </c>
      <c r="F130" s="110">
        <f t="shared" si="2"/>
        <v>39.804494033726158</v>
      </c>
      <c r="G130" s="109">
        <f>'5-2. 30년이상 건축물(시군구별) '!G130</f>
        <v>2702761.5359</v>
      </c>
      <c r="H130" s="110">
        <f t="shared" si="3"/>
        <v>19.386169089135471</v>
      </c>
    </row>
    <row r="131" spans="2:8" ht="18" customHeight="1">
      <c r="B131" s="66" t="s">
        <v>1057</v>
      </c>
      <c r="C131" s="66" t="s">
        <v>1167</v>
      </c>
      <c r="D131" s="108">
        <v>67309</v>
      </c>
      <c r="E131" s="109">
        <f>'5-2. 30년이상 건축물(시군구별) '!D131</f>
        <v>6910000.1617000001</v>
      </c>
      <c r="F131" s="110">
        <f t="shared" si="2"/>
        <v>49.56354075686609</v>
      </c>
      <c r="G131" s="109">
        <f>'5-2. 30년이상 건축물(시군구별) '!G131</f>
        <v>2743295.0684000002</v>
      </c>
      <c r="H131" s="110">
        <f t="shared" si="3"/>
        <v>19.676905028798497</v>
      </c>
    </row>
    <row r="132" spans="2:8" ht="18" customHeight="1">
      <c r="B132" s="66" t="s">
        <v>1057</v>
      </c>
      <c r="C132" s="66" t="s">
        <v>1168</v>
      </c>
      <c r="D132" s="108">
        <v>46359</v>
      </c>
      <c r="E132" s="109">
        <f>'5-2. 30년이상 건축물(시군구별) '!D132</f>
        <v>7225474.6096000001</v>
      </c>
      <c r="F132" s="110">
        <f t="shared" si="2"/>
        <v>51.826352665743777</v>
      </c>
      <c r="G132" s="109">
        <f>'5-2. 30년이상 건축물(시군구별) '!G132</f>
        <v>2107078.5301999999</v>
      </c>
      <c r="H132" s="110">
        <f t="shared" si="3"/>
        <v>15.113497853202981</v>
      </c>
    </row>
    <row r="133" spans="2:8" ht="18" customHeight="1">
      <c r="B133" s="66" t="s">
        <v>1057</v>
      </c>
      <c r="C133" s="66" t="s">
        <v>1169</v>
      </c>
      <c r="D133" s="108">
        <v>37332</v>
      </c>
      <c r="E133" s="109">
        <f>'5-2. 30년이상 건축물(시군구별) '!D133</f>
        <v>4038398.1521999999</v>
      </c>
      <c r="F133" s="110">
        <f t="shared" si="2"/>
        <v>28.966325141123392</v>
      </c>
      <c r="G133" s="109">
        <f>'5-2. 30년이상 건축물(시군구별) '!G133</f>
        <v>1656799.0259</v>
      </c>
      <c r="H133" s="110">
        <f t="shared" si="3"/>
        <v>11.883766154055818</v>
      </c>
    </row>
    <row r="134" spans="2:8" ht="18" customHeight="1">
      <c r="B134" s="66" t="s">
        <v>1057</v>
      </c>
      <c r="C134" s="66" t="s">
        <v>1170</v>
      </c>
      <c r="D134" s="108">
        <v>40659</v>
      </c>
      <c r="E134" s="109">
        <f>'5-2. 30년이상 건축물(시군구별) '!D134</f>
        <v>6382266.8353300001</v>
      </c>
      <c r="F134" s="110">
        <f t="shared" si="2"/>
        <v>45.778253981436983</v>
      </c>
      <c r="G134" s="109">
        <f>'5-2. 30년이상 건축물(시군구별) '!G134</f>
        <v>2378987.5295299999</v>
      </c>
      <c r="H134" s="110">
        <f t="shared" si="3"/>
        <v>17.063826717903844</v>
      </c>
    </row>
    <row r="135" spans="2:8" ht="18" customHeight="1">
      <c r="B135" s="66" t="s">
        <v>1057</v>
      </c>
      <c r="C135" s="66" t="s">
        <v>1171</v>
      </c>
      <c r="D135" s="108">
        <v>34202</v>
      </c>
      <c r="E135" s="109">
        <f>'5-2. 30년이상 건축물(시군구별) '!D135</f>
        <v>4102128.2283000001</v>
      </c>
      <c r="F135" s="110">
        <f t="shared" si="2"/>
        <v>29.423443542035763</v>
      </c>
      <c r="G135" s="109">
        <f>'5-2. 30년이상 건축물(시군구별) '!G135</f>
        <v>1465267.4645</v>
      </c>
      <c r="H135" s="110">
        <f t="shared" si="3"/>
        <v>10.509962662372594</v>
      </c>
    </row>
    <row r="136" spans="2:8" ht="18" customHeight="1">
      <c r="B136" s="66" t="s">
        <v>1057</v>
      </c>
      <c r="C136" s="66" t="s">
        <v>1172</v>
      </c>
      <c r="D136" s="108">
        <v>41448</v>
      </c>
      <c r="E136" s="109">
        <f>'5-2. 30년이상 건축물(시군구별) '!D136</f>
        <v>4966946.3766999999</v>
      </c>
      <c r="F136" s="110">
        <f t="shared" ref="F136:F199" si="4">E136/$D$6</f>
        <v>35.62654752791984</v>
      </c>
      <c r="G136" s="109">
        <f>'5-2. 30년이상 건축물(시군구별) '!G136</f>
        <v>1428436.2056</v>
      </c>
      <c r="H136" s="110">
        <f t="shared" ref="H136:H199" si="5">G136/$D$6</f>
        <v>10.245782118393022</v>
      </c>
    </row>
    <row r="137" spans="2:8" ht="18" customHeight="1">
      <c r="B137" s="66" t="s">
        <v>1057</v>
      </c>
      <c r="C137" s="66" t="s">
        <v>1173</v>
      </c>
      <c r="D137" s="108">
        <v>23007</v>
      </c>
      <c r="E137" s="109">
        <f>'5-2. 30년이상 건축물(시군구별) '!D137</f>
        <v>2543627.4463</v>
      </c>
      <c r="F137" s="110">
        <f t="shared" si="4"/>
        <v>18.244743799536643</v>
      </c>
      <c r="G137" s="109">
        <f>'5-2. 30년이상 건축물(시군구별) '!G137</f>
        <v>643041.4081</v>
      </c>
      <c r="H137" s="110">
        <f t="shared" si="5"/>
        <v>4.6123601002747154</v>
      </c>
    </row>
    <row r="138" spans="2:8" ht="18" customHeight="1">
      <c r="B138" s="66" t="s">
        <v>1057</v>
      </c>
      <c r="C138" s="66" t="s">
        <v>1174</v>
      </c>
      <c r="D138" s="108">
        <v>21056</v>
      </c>
      <c r="E138" s="109">
        <f>'5-2. 30년이상 건축물(시군구별) '!D138</f>
        <v>2159754.3831000002</v>
      </c>
      <c r="F138" s="110">
        <f t="shared" si="4"/>
        <v>15.491327335260408</v>
      </c>
      <c r="G138" s="109">
        <f>'5-2. 30년이상 건축물(시군구별) '!G138</f>
        <v>745109.16440000001</v>
      </c>
      <c r="H138" s="110">
        <f t="shared" si="5"/>
        <v>5.3444641930324135</v>
      </c>
    </row>
    <row r="139" spans="2:8" ht="18" customHeight="1">
      <c r="B139" s="66" t="s">
        <v>1057</v>
      </c>
      <c r="C139" s="66" t="s">
        <v>1175</v>
      </c>
      <c r="D139" s="108">
        <v>32020</v>
      </c>
      <c r="E139" s="109">
        <f>'5-2. 30년이상 건축물(시군구별) '!D139</f>
        <v>3579159.5514000002</v>
      </c>
      <c r="F139" s="110">
        <f t="shared" si="4"/>
        <v>25.672332293766186</v>
      </c>
      <c r="G139" s="109">
        <f>'5-2. 30년이상 건축물(시군구별) '!G139</f>
        <v>1103239.5009000001</v>
      </c>
      <c r="H139" s="110">
        <f t="shared" si="5"/>
        <v>7.9132351212549406</v>
      </c>
    </row>
    <row r="140" spans="2:8" ht="18" customHeight="1">
      <c r="B140" s="66" t="s">
        <v>1057</v>
      </c>
      <c r="C140" s="66" t="s">
        <v>1176</v>
      </c>
      <c r="D140" s="108">
        <v>27305</v>
      </c>
      <c r="E140" s="109">
        <f>'5-2. 30년이상 건축물(시군구별) '!D140</f>
        <v>3646410.2962000002</v>
      </c>
      <c r="F140" s="110">
        <f t="shared" si="4"/>
        <v>26.15470348809686</v>
      </c>
      <c r="G140" s="109">
        <f>'5-2. 30년이상 건축물(시군구별) '!G140</f>
        <v>1097850.6575</v>
      </c>
      <c r="H140" s="110">
        <f t="shared" si="5"/>
        <v>7.8745824217993503</v>
      </c>
    </row>
    <row r="141" spans="2:8" ht="18" customHeight="1">
      <c r="B141" s="66" t="s">
        <v>1057</v>
      </c>
      <c r="C141" s="66" t="s">
        <v>1177</v>
      </c>
      <c r="D141" s="108">
        <v>27710</v>
      </c>
      <c r="E141" s="109">
        <f>'5-2. 30년이상 건축물(시군구별) '!D141</f>
        <v>3467403.7272999999</v>
      </c>
      <c r="F141" s="110">
        <f t="shared" si="4"/>
        <v>24.870738341091833</v>
      </c>
      <c r="G141" s="109">
        <f>'5-2. 30년이상 건축물(시군구별) '!G141</f>
        <v>1352992.6231</v>
      </c>
      <c r="H141" s="110">
        <f t="shared" si="5"/>
        <v>9.7046459405954799</v>
      </c>
    </row>
    <row r="142" spans="2:8" ht="18" customHeight="1">
      <c r="B142" s="66" t="s">
        <v>1058</v>
      </c>
      <c r="C142" s="66" t="s">
        <v>1178</v>
      </c>
      <c r="D142" s="108">
        <v>200575</v>
      </c>
      <c r="E142" s="109">
        <f>'5-2. 30년이상 건축물(시군구별) '!D142</f>
        <v>13710330.2949</v>
      </c>
      <c r="F142" s="110">
        <f t="shared" si="4"/>
        <v>98.340448402275186</v>
      </c>
      <c r="G142" s="109">
        <f>'5-2. 30년이상 건축물(시군구별) '!G142</f>
        <v>8037985.8080000002</v>
      </c>
      <c r="H142" s="110">
        <f t="shared" si="5"/>
        <v>57.65427320914953</v>
      </c>
    </row>
    <row r="143" spans="2:8" ht="18" customHeight="1">
      <c r="B143" s="66" t="s">
        <v>1058</v>
      </c>
      <c r="C143" s="66" t="s">
        <v>1179</v>
      </c>
      <c r="D143" s="108">
        <v>186302</v>
      </c>
      <c r="E143" s="109">
        <f>'5-2. 30년이상 건축물(시군구별) '!D143</f>
        <v>14537333.2851</v>
      </c>
      <c r="F143" s="110">
        <f t="shared" si="4"/>
        <v>104.27231460367101</v>
      </c>
      <c r="G143" s="109">
        <f>'5-2. 30년이상 건축물(시군구별) '!G143</f>
        <v>8069600.6051000003</v>
      </c>
      <c r="H143" s="110">
        <f t="shared" si="5"/>
        <v>57.881037499731022</v>
      </c>
    </row>
    <row r="144" spans="2:8" ht="18" customHeight="1">
      <c r="B144" s="66" t="s">
        <v>1058</v>
      </c>
      <c r="C144" s="66" t="s">
        <v>1180</v>
      </c>
      <c r="D144" s="108">
        <v>274594</v>
      </c>
      <c r="E144" s="109">
        <f>'5-2. 30년이상 건축물(시군구별) '!D144</f>
        <v>26207471.862950001</v>
      </c>
      <c r="F144" s="110">
        <f t="shared" si="4"/>
        <v>187.97902596491102</v>
      </c>
      <c r="G144" s="109">
        <f>'5-2. 30년이상 건축물(시군구별) '!G144</f>
        <v>11454377.3958</v>
      </c>
      <c r="H144" s="110">
        <f t="shared" si="5"/>
        <v>82.159115429251813</v>
      </c>
    </row>
    <row r="145" spans="2:8" ht="18" customHeight="1">
      <c r="B145" s="66" t="s">
        <v>1058</v>
      </c>
      <c r="C145" s="66" t="s">
        <v>1181</v>
      </c>
      <c r="D145" s="108">
        <v>190718</v>
      </c>
      <c r="E145" s="109">
        <f>'5-2. 30년이상 건축물(시군구별) '!D145</f>
        <v>17671830.766100001</v>
      </c>
      <c r="F145" s="110">
        <f t="shared" si="4"/>
        <v>126.75520751486548</v>
      </c>
      <c r="G145" s="109">
        <f>'5-2. 30년이상 건축물(시군구별) '!G145</f>
        <v>7688411.9033000004</v>
      </c>
      <c r="H145" s="110">
        <f t="shared" si="5"/>
        <v>55.14687522540293</v>
      </c>
    </row>
    <row r="146" spans="2:8" ht="18" customHeight="1">
      <c r="B146" s="66" t="s">
        <v>1058</v>
      </c>
      <c r="C146" s="66" t="s">
        <v>1182</v>
      </c>
      <c r="D146" s="108">
        <v>207778</v>
      </c>
      <c r="E146" s="109">
        <f>'5-2. 30년이상 건축물(시군구별) '!D146</f>
        <v>21121832.801600002</v>
      </c>
      <c r="F146" s="110">
        <f t="shared" si="4"/>
        <v>151.50112828134303</v>
      </c>
      <c r="G146" s="109">
        <f>'5-2. 30년이상 건축물(시군구별) '!G146</f>
        <v>9222361.2376000006</v>
      </c>
      <c r="H146" s="110">
        <f t="shared" si="5"/>
        <v>66.149474150211248</v>
      </c>
    </row>
    <row r="147" spans="2:8" ht="18" customHeight="1">
      <c r="B147" s="66" t="s">
        <v>1058</v>
      </c>
      <c r="C147" s="66" t="s">
        <v>1183</v>
      </c>
      <c r="D147" s="108">
        <v>130194</v>
      </c>
      <c r="E147" s="109">
        <f>'5-2. 30년이상 건축물(시군구별) '!D147</f>
        <v>11359505.196900001</v>
      </c>
      <c r="F147" s="110">
        <f t="shared" si="4"/>
        <v>81.4786231012</v>
      </c>
      <c r="G147" s="109">
        <f>'5-2. 30년이상 건축물(시군구별) '!G147</f>
        <v>5602689.2438000003</v>
      </c>
      <c r="H147" s="110">
        <f t="shared" si="5"/>
        <v>40.186557190299609</v>
      </c>
    </row>
    <row r="148" spans="2:8" ht="18" customHeight="1">
      <c r="B148" s="66" t="s">
        <v>1058</v>
      </c>
      <c r="C148" s="66" t="s">
        <v>1184</v>
      </c>
      <c r="D148" s="108">
        <v>31010</v>
      </c>
      <c r="E148" s="109">
        <f>'5-2. 30년이상 건축물(시군구별) '!D148</f>
        <v>5019149.8032</v>
      </c>
      <c r="F148" s="110">
        <f t="shared" si="4"/>
        <v>36.000988424654096</v>
      </c>
      <c r="G148" s="109">
        <f>'5-2. 30년이상 건축물(시군구별) '!G148</f>
        <v>1477446.6313</v>
      </c>
      <c r="H148" s="110">
        <f t="shared" si="5"/>
        <v>10.597320493913942</v>
      </c>
    </row>
    <row r="149" spans="2:8" ht="18" customHeight="1">
      <c r="B149" s="66" t="s">
        <v>1058</v>
      </c>
      <c r="C149" s="66" t="s">
        <v>1185</v>
      </c>
      <c r="D149" s="108">
        <v>48891</v>
      </c>
      <c r="E149" s="109">
        <f>'5-2. 30년이상 건축물(시군구별) '!D149</f>
        <v>5454777.8130999999</v>
      </c>
      <c r="F149" s="110">
        <f t="shared" si="4"/>
        <v>39.125628962752032</v>
      </c>
      <c r="G149" s="109">
        <f>'5-2. 30년이상 건축물(시군구별) '!G149</f>
        <v>2016788.703</v>
      </c>
      <c r="H149" s="110">
        <f t="shared" si="5"/>
        <v>14.465873623733117</v>
      </c>
    </row>
    <row r="150" spans="2:8" ht="18" customHeight="1">
      <c r="B150" s="66" t="s">
        <v>1058</v>
      </c>
      <c r="C150" s="66" t="s">
        <v>1186</v>
      </c>
      <c r="D150" s="108">
        <v>44195</v>
      </c>
      <c r="E150" s="109">
        <f>'5-2. 30년이상 건축물(시군구별) '!D150</f>
        <v>4967221.9830999998</v>
      </c>
      <c r="F150" s="110">
        <f t="shared" si="4"/>
        <v>35.628524377228025</v>
      </c>
      <c r="G150" s="109">
        <f>'5-2. 30년이상 건축물(시군구별) '!G150</f>
        <v>1930989.4723</v>
      </c>
      <c r="H150" s="110">
        <f t="shared" si="5"/>
        <v>13.850459214443003</v>
      </c>
    </row>
    <row r="151" spans="2:8" ht="18" customHeight="1">
      <c r="B151" s="66" t="s">
        <v>1058</v>
      </c>
      <c r="C151" s="66" t="s">
        <v>1187</v>
      </c>
      <c r="D151" s="108">
        <v>37484</v>
      </c>
      <c r="E151" s="109">
        <f>'5-2. 30년이상 건축물(시군구별) '!D151</f>
        <v>3682527.2324999999</v>
      </c>
      <c r="F151" s="110">
        <f t="shared" si="4"/>
        <v>26.413760391487408</v>
      </c>
      <c r="G151" s="109">
        <f>'5-2. 30년이상 건축물(시군구별) '!G151</f>
        <v>1598917.0974999999</v>
      </c>
      <c r="H151" s="110">
        <f t="shared" si="5"/>
        <v>11.468594916688781</v>
      </c>
    </row>
    <row r="152" spans="2:8" ht="18" customHeight="1">
      <c r="B152" s="66" t="s">
        <v>1058</v>
      </c>
      <c r="C152" s="66" t="s">
        <v>1188</v>
      </c>
      <c r="D152" s="108">
        <v>86254</v>
      </c>
      <c r="E152" s="109">
        <f>'5-2. 30년이상 건축물(시군구별) '!D152</f>
        <v>12190504.4703</v>
      </c>
      <c r="F152" s="110">
        <f t="shared" si="4"/>
        <v>87.4391535487064</v>
      </c>
      <c r="G152" s="109">
        <f>'5-2. 30년이상 건축물(시군구별) '!G152</f>
        <v>3913634.0088</v>
      </c>
      <c r="H152" s="110">
        <f t="shared" si="5"/>
        <v>28.071426072860554</v>
      </c>
    </row>
    <row r="153" spans="2:8" ht="18" customHeight="1">
      <c r="B153" s="66" t="s">
        <v>1058</v>
      </c>
      <c r="C153" s="66" t="s">
        <v>1189</v>
      </c>
      <c r="D153" s="108">
        <v>36590</v>
      </c>
      <c r="E153" s="109">
        <f>'5-2. 30년이상 건축물(시군구별) '!D153</f>
        <v>4959655.9938000003</v>
      </c>
      <c r="F153" s="110">
        <f t="shared" si="4"/>
        <v>35.574255605844343</v>
      </c>
      <c r="G153" s="109">
        <f>'5-2. 30년이상 건축물(시군구별) '!G153</f>
        <v>1771100.5109999999</v>
      </c>
      <c r="H153" s="110">
        <f t="shared" si="5"/>
        <v>12.703619436654066</v>
      </c>
    </row>
    <row r="154" spans="2:8" ht="18" customHeight="1">
      <c r="B154" s="66" t="s">
        <v>1058</v>
      </c>
      <c r="C154" s="66" t="s">
        <v>1190</v>
      </c>
      <c r="D154" s="108">
        <v>91183</v>
      </c>
      <c r="E154" s="109">
        <f>'5-2. 30년이상 건축물(시군구별) '!D154</f>
        <v>17745766.1884</v>
      </c>
      <c r="F154" s="110">
        <f t="shared" si="4"/>
        <v>127.28552607214328</v>
      </c>
      <c r="G154" s="109">
        <f>'5-2. 30년이상 건축물(시군구별) '!G154</f>
        <v>4210847.4961999999</v>
      </c>
      <c r="H154" s="110">
        <f t="shared" si="5"/>
        <v>30.203257107813251</v>
      </c>
    </row>
    <row r="155" spans="2:8" ht="18" customHeight="1">
      <c r="B155" s="66" t="s">
        <v>1058</v>
      </c>
      <c r="C155" s="66" t="s">
        <v>1191</v>
      </c>
      <c r="D155" s="108">
        <v>27701</v>
      </c>
      <c r="E155" s="109">
        <f>'5-2. 30년이상 건축물(시군구별) '!D155</f>
        <v>3374241.7856000001</v>
      </c>
      <c r="F155" s="110">
        <f t="shared" si="4"/>
        <v>24.202513220052076</v>
      </c>
      <c r="G155" s="109">
        <f>'5-2. 30년이상 건축물(시군구별) '!G155</f>
        <v>1357802.6221</v>
      </c>
      <c r="H155" s="110">
        <f t="shared" si="5"/>
        <v>9.7391467475272027</v>
      </c>
    </row>
    <row r="156" spans="2:8" ht="18" customHeight="1">
      <c r="B156" s="66" t="s">
        <v>1059</v>
      </c>
      <c r="C156" s="66" t="s">
        <v>1192</v>
      </c>
      <c r="D156" s="108">
        <v>256691</v>
      </c>
      <c r="E156" s="109">
        <f>'5-2. 30년이상 건축물(시군구별) '!D156</f>
        <v>24700244.339400001</v>
      </c>
      <c r="F156" s="110">
        <f t="shared" si="4"/>
        <v>177.16809527819419</v>
      </c>
      <c r="G156" s="109">
        <f>'5-2. 30년이상 건축물(시군구별) '!G156</f>
        <v>10943815.563100001</v>
      </c>
      <c r="H156" s="110">
        <f t="shared" si="5"/>
        <v>78.496995080226952</v>
      </c>
    </row>
    <row r="157" spans="2:8" ht="18" customHeight="1">
      <c r="B157" s="66" t="s">
        <v>1059</v>
      </c>
      <c r="C157" s="66" t="s">
        <v>1193</v>
      </c>
      <c r="D157" s="108">
        <v>399268</v>
      </c>
      <c r="E157" s="109">
        <f>'5-2. 30년이상 건축물(시군구별) '!D157</f>
        <v>35232618.060400002</v>
      </c>
      <c r="F157" s="110">
        <f t="shared" si="4"/>
        <v>252.71393058522276</v>
      </c>
      <c r="G157" s="109">
        <f>'5-2. 30년이상 건축물(시군구별) '!G157</f>
        <v>14957129.8698</v>
      </c>
      <c r="H157" s="110">
        <f t="shared" si="5"/>
        <v>107.28340065989083</v>
      </c>
    </row>
    <row r="158" spans="2:8" ht="18" customHeight="1">
      <c r="B158" s="66" t="s">
        <v>1059</v>
      </c>
      <c r="C158" s="66" t="s">
        <v>1194</v>
      </c>
      <c r="D158" s="108">
        <v>102104</v>
      </c>
      <c r="E158" s="109">
        <f>'5-2. 30년이상 건축물(시군구별) '!D158</f>
        <v>11597167.8926</v>
      </c>
      <c r="F158" s="110">
        <f t="shared" si="4"/>
        <v>83.183312598893963</v>
      </c>
      <c r="G158" s="109">
        <f>'5-2. 30년이상 건축물(시군구별) '!G158</f>
        <v>4320685.3596000001</v>
      </c>
      <c r="H158" s="110">
        <f t="shared" si="5"/>
        <v>30.991094053092521</v>
      </c>
    </row>
    <row r="159" spans="2:8" ht="18" customHeight="1">
      <c r="B159" s="66" t="s">
        <v>1059</v>
      </c>
      <c r="C159" s="66" t="s">
        <v>1195</v>
      </c>
      <c r="D159" s="108">
        <v>95772</v>
      </c>
      <c r="E159" s="109">
        <f>'5-2. 30년이상 건축물(시군구별) '!D159</f>
        <v>10032670.3146</v>
      </c>
      <c r="F159" s="110">
        <f t="shared" si="4"/>
        <v>71.961599479260059</v>
      </c>
      <c r="G159" s="109">
        <f>'5-2. 30년이상 건축물(시군구별) '!G159</f>
        <v>3579026.7659999998</v>
      </c>
      <c r="H159" s="110">
        <f t="shared" si="5"/>
        <v>25.671379860418742</v>
      </c>
    </row>
    <row r="160" spans="2:8" ht="18" customHeight="1">
      <c r="B160" s="66" t="s">
        <v>1059</v>
      </c>
      <c r="C160" s="66" t="s">
        <v>1196</v>
      </c>
      <c r="D160" s="108">
        <v>345796</v>
      </c>
      <c r="E160" s="109">
        <f>'5-2. 30년이상 건축물(시군구별) '!D160</f>
        <v>37581071.693899997</v>
      </c>
      <c r="F160" s="110">
        <f t="shared" si="4"/>
        <v>269.55874602021271</v>
      </c>
      <c r="G160" s="109">
        <f>'5-2. 30년이상 건축물(시군구별) '!G160</f>
        <v>15496221.092499999</v>
      </c>
      <c r="H160" s="110">
        <f t="shared" si="5"/>
        <v>111.150154518459</v>
      </c>
    </row>
    <row r="161" spans="2:8" ht="18" customHeight="1">
      <c r="B161" s="66" t="s">
        <v>1059</v>
      </c>
      <c r="C161" s="66" t="s">
        <v>1197</v>
      </c>
      <c r="D161" s="108">
        <v>176011</v>
      </c>
      <c r="E161" s="109">
        <f>'5-2. 30년이상 건축물(시군구별) '!D161</f>
        <v>17780238.272</v>
      </c>
      <c r="F161" s="110">
        <f t="shared" si="4"/>
        <v>127.53278489710723</v>
      </c>
      <c r="G161" s="109">
        <f>'5-2. 30년이상 건축물(시군구별) '!G161</f>
        <v>7846174.9686000003</v>
      </c>
      <c r="H161" s="110">
        <f t="shared" si="5"/>
        <v>56.278466532775774</v>
      </c>
    </row>
    <row r="162" spans="2:8" ht="18" customHeight="1">
      <c r="B162" s="66" t="s">
        <v>1059</v>
      </c>
      <c r="C162" s="66" t="s">
        <v>1198</v>
      </c>
      <c r="D162" s="108">
        <v>110423</v>
      </c>
      <c r="E162" s="109">
        <f>'5-2. 30년이상 건축물(시군구별) '!D162</f>
        <v>11817899.67255</v>
      </c>
      <c r="F162" s="110">
        <f t="shared" si="4"/>
        <v>84.766561269787758</v>
      </c>
      <c r="G162" s="109">
        <f>'5-2. 30년이상 건축물(시군구별) '!G162</f>
        <v>4155482.3793000001</v>
      </c>
      <c r="H162" s="110">
        <f t="shared" si="5"/>
        <v>29.806138270799114</v>
      </c>
    </row>
    <row r="163" spans="2:8" ht="18" customHeight="1">
      <c r="B163" s="66" t="s">
        <v>1059</v>
      </c>
      <c r="C163" s="66" t="s">
        <v>1199</v>
      </c>
      <c r="D163" s="108">
        <v>46667</v>
      </c>
      <c r="E163" s="109">
        <f>'5-2. 30년이상 건축물(시군구별) '!D163</f>
        <v>3435968.557</v>
      </c>
      <c r="F163" s="110">
        <f t="shared" si="4"/>
        <v>24.645262464405345</v>
      </c>
      <c r="G163" s="109">
        <f>'5-2. 30년이상 건축물(시군구별) '!G163</f>
        <v>1793913.8672</v>
      </c>
      <c r="H163" s="110">
        <f t="shared" si="5"/>
        <v>12.86725339951369</v>
      </c>
    </row>
    <row r="164" spans="2:8" ht="18" customHeight="1">
      <c r="B164" s="66" t="s">
        <v>1059</v>
      </c>
      <c r="C164" s="66" t="s">
        <v>1200</v>
      </c>
      <c r="D164" s="108">
        <v>170302</v>
      </c>
      <c r="E164" s="109">
        <f>'5-2. 30년이상 건축물(시군구별) '!D164</f>
        <v>22234677.203600001</v>
      </c>
      <c r="F164" s="110">
        <f t="shared" si="4"/>
        <v>159.48325673052784</v>
      </c>
      <c r="G164" s="109">
        <f>'5-2. 30년이상 건축물(시군구별) '!G164</f>
        <v>8199599.2199999997</v>
      </c>
      <c r="H164" s="110">
        <f t="shared" si="5"/>
        <v>58.813482000043031</v>
      </c>
    </row>
    <row r="165" spans="2:8" ht="18" customHeight="1">
      <c r="B165" s="66" t="s">
        <v>1059</v>
      </c>
      <c r="C165" s="66" t="s">
        <v>1201</v>
      </c>
      <c r="D165" s="108">
        <v>50093</v>
      </c>
      <c r="E165" s="109">
        <f>'5-2. 30년이상 건축물(시군구별) '!D165</f>
        <v>5739650.8367999997</v>
      </c>
      <c r="F165" s="110">
        <f t="shared" si="4"/>
        <v>41.168945227626473</v>
      </c>
      <c r="G165" s="109">
        <f>'5-2. 30년이상 건축물(시군구별) '!G165</f>
        <v>2004719.0423999999</v>
      </c>
      <c r="H165" s="110">
        <f t="shared" si="5"/>
        <v>14.379301250206215</v>
      </c>
    </row>
    <row r="166" spans="2:8" ht="18" customHeight="1">
      <c r="B166" s="66" t="s">
        <v>1059</v>
      </c>
      <c r="C166" s="66" t="s">
        <v>1202</v>
      </c>
      <c r="D166" s="108">
        <v>61046</v>
      </c>
      <c r="E166" s="109">
        <f>'5-2. 30년이상 건축물(시군구별) '!D166</f>
        <v>7191925.7781999996</v>
      </c>
      <c r="F166" s="110">
        <f t="shared" si="4"/>
        <v>51.585716076231733</v>
      </c>
      <c r="G166" s="109">
        <f>'5-2. 30년이상 건축물(시군구별) '!G166</f>
        <v>2573869.0805000002</v>
      </c>
      <c r="H166" s="110">
        <f t="shared" si="5"/>
        <v>18.461658768299419</v>
      </c>
    </row>
    <row r="167" spans="2:8" ht="18" customHeight="1">
      <c r="B167" s="66" t="s">
        <v>1059</v>
      </c>
      <c r="C167" s="66" t="s">
        <v>1203</v>
      </c>
      <c r="D167" s="108">
        <v>49116</v>
      </c>
      <c r="E167" s="109">
        <f>'5-2. 30년이상 건축물(시군구별) '!D167</f>
        <v>10969466.0711</v>
      </c>
      <c r="F167" s="110">
        <f t="shared" si="4"/>
        <v>78.680979156774285</v>
      </c>
      <c r="G167" s="109">
        <f>'5-2. 30년이상 건축물(시군구별) '!G167</f>
        <v>1763943.8722999999</v>
      </c>
      <c r="H167" s="110">
        <f t="shared" si="5"/>
        <v>12.652286825136102</v>
      </c>
    </row>
    <row r="168" spans="2:8" ht="18" customHeight="1">
      <c r="B168" s="66" t="s">
        <v>1059</v>
      </c>
      <c r="C168" s="66" t="s">
        <v>1204</v>
      </c>
      <c r="D168" s="108">
        <v>30168</v>
      </c>
      <c r="E168" s="109">
        <f>'5-2. 30년이상 건축물(시군구별) '!D168</f>
        <v>3642304.8640999999</v>
      </c>
      <c r="F168" s="110">
        <f t="shared" si="4"/>
        <v>26.125256346786976</v>
      </c>
      <c r="G168" s="109">
        <f>'5-2. 30년이상 건축물(시군구별) '!G168</f>
        <v>1277241.3633000001</v>
      </c>
      <c r="H168" s="110">
        <f t="shared" si="5"/>
        <v>9.1613028776978425</v>
      </c>
    </row>
    <row r="169" spans="2:8" ht="18" customHeight="1">
      <c r="B169" s="66" t="s">
        <v>1059</v>
      </c>
      <c r="C169" s="66" t="s">
        <v>1205</v>
      </c>
      <c r="D169" s="108">
        <v>97524</v>
      </c>
      <c r="E169" s="109">
        <f>'5-2. 30년이상 건축물(시군구별) '!D169</f>
        <v>11638576.368100001</v>
      </c>
      <c r="F169" s="110">
        <f t="shared" si="4"/>
        <v>83.480324265333493</v>
      </c>
      <c r="G169" s="109">
        <f>'5-2. 30년이상 건축물(시군구별) '!G169</f>
        <v>4091619.4218000001</v>
      </c>
      <c r="H169" s="110">
        <f t="shared" si="5"/>
        <v>29.348066747957567</v>
      </c>
    </row>
    <row r="170" spans="2:8" ht="18" customHeight="1">
      <c r="B170" s="66" t="s">
        <v>1059</v>
      </c>
      <c r="C170" s="66" t="s">
        <v>1206</v>
      </c>
      <c r="D170" s="108">
        <v>78354</v>
      </c>
      <c r="E170" s="109">
        <f>'5-2. 30년이상 건축물(시군구별) '!D170</f>
        <v>10797254.9132</v>
      </c>
      <c r="F170" s="110">
        <f t="shared" si="4"/>
        <v>77.445755633817967</v>
      </c>
      <c r="G170" s="109">
        <f>'5-2. 30년이상 건축물(시군구별) '!G170</f>
        <v>3522380.5795999998</v>
      </c>
      <c r="H170" s="110">
        <f t="shared" si="5"/>
        <v>25.265072262349641</v>
      </c>
    </row>
    <row r="171" spans="2:8" ht="18" customHeight="1">
      <c r="B171" s="66" t="s">
        <v>1059</v>
      </c>
      <c r="C171" s="66" t="s">
        <v>1207</v>
      </c>
      <c r="D171" s="108">
        <v>60784</v>
      </c>
      <c r="E171" s="109">
        <f>'5-2. 30년이상 건축물(시군구별) '!D171</f>
        <v>6215975.5280999998</v>
      </c>
      <c r="F171" s="110">
        <f t="shared" si="4"/>
        <v>44.585491927813678</v>
      </c>
      <c r="G171" s="109">
        <f>'5-2. 30년이상 건축물(시군구별) '!G171</f>
        <v>2749958.4764</v>
      </c>
      <c r="H171" s="110">
        <f t="shared" si="5"/>
        <v>19.72469983144093</v>
      </c>
    </row>
    <row r="172" spans="2:8" ht="18" customHeight="1">
      <c r="B172" s="66" t="s">
        <v>1060</v>
      </c>
      <c r="C172" s="66" t="s">
        <v>1208</v>
      </c>
      <c r="D172" s="108">
        <v>327178</v>
      </c>
      <c r="E172" s="109">
        <f>'5-2. 30년이상 건축물(시군구별) '!D172</f>
        <v>23306012.473749999</v>
      </c>
      <c r="F172" s="110">
        <f t="shared" si="4"/>
        <v>167.16765153281162</v>
      </c>
      <c r="G172" s="109">
        <f>'5-2. 30년이상 건축물(시군구별) '!G172</f>
        <v>13613754.0573</v>
      </c>
      <c r="H172" s="110">
        <f t="shared" si="5"/>
        <v>97.647733470810593</v>
      </c>
    </row>
    <row r="173" spans="2:8" ht="18" customHeight="1">
      <c r="B173" s="66" t="s">
        <v>1060</v>
      </c>
      <c r="C173" s="66" t="s">
        <v>1209</v>
      </c>
      <c r="D173" s="108">
        <v>315549</v>
      </c>
      <c r="E173" s="109">
        <f>'5-2. 30년이상 건축물(시군구별) '!D173</f>
        <v>24721708.258200001</v>
      </c>
      <c r="F173" s="110">
        <f t="shared" si="4"/>
        <v>177.32205009575591</v>
      </c>
      <c r="G173" s="109">
        <f>'5-2. 30년이상 건축물(시군구별) '!G173</f>
        <v>12876921.0032</v>
      </c>
      <c r="H173" s="110">
        <f t="shared" si="5"/>
        <v>92.362631552823544</v>
      </c>
    </row>
    <row r="174" spans="2:8" ht="18" customHeight="1">
      <c r="B174" s="66" t="s">
        <v>1060</v>
      </c>
      <c r="C174" s="66" t="s">
        <v>1210</v>
      </c>
      <c r="D174" s="108">
        <v>259980</v>
      </c>
      <c r="E174" s="109">
        <f>'5-2. 30년이상 건축물(시군구별) '!D174</f>
        <v>26561809.366799999</v>
      </c>
      <c r="F174" s="110">
        <f t="shared" si="4"/>
        <v>190.52059194215911</v>
      </c>
      <c r="G174" s="109">
        <f>'5-2. 30년이상 건축물(시군구별) '!G174</f>
        <v>11374158.5923</v>
      </c>
      <c r="H174" s="110">
        <f t="shared" si="5"/>
        <v>81.583727897602159</v>
      </c>
    </row>
    <row r="175" spans="2:8" ht="18" customHeight="1">
      <c r="B175" s="66" t="s">
        <v>1060</v>
      </c>
      <c r="C175" s="66" t="s">
        <v>1211</v>
      </c>
      <c r="D175" s="108">
        <v>270036</v>
      </c>
      <c r="E175" s="109">
        <f>'5-2. 30년이상 건축물(시군구별) '!D175</f>
        <v>26054920.154300001</v>
      </c>
      <c r="F175" s="110">
        <f t="shared" si="4"/>
        <v>186.88481429309195</v>
      </c>
      <c r="G175" s="109">
        <f>'5-2. 30년이상 건축물(시군구별) '!G175</f>
        <v>11220007.037599999</v>
      </c>
      <c r="H175" s="110">
        <f t="shared" si="5"/>
        <v>80.478040967744249</v>
      </c>
    </row>
    <row r="176" spans="2:8" ht="18" customHeight="1">
      <c r="B176" s="66" t="s">
        <v>1060</v>
      </c>
      <c r="C176" s="66" t="s">
        <v>1212</v>
      </c>
      <c r="D176" s="108">
        <v>103620</v>
      </c>
      <c r="E176" s="109">
        <f>'5-2. 30년이상 건축물(시군구별) '!D176</f>
        <v>12911617.141799999</v>
      </c>
      <c r="F176" s="110">
        <f t="shared" si="4"/>
        <v>92.611497463006657</v>
      </c>
      <c r="G176" s="109">
        <f>'5-2. 30년이상 건축물(시군구별) '!G176</f>
        <v>3749509.5159</v>
      </c>
      <c r="H176" s="110">
        <f t="shared" si="5"/>
        <v>26.894205985640202</v>
      </c>
    </row>
    <row r="177" spans="2:8" ht="18" customHeight="1">
      <c r="B177" s="66" t="s">
        <v>1060</v>
      </c>
      <c r="C177" s="66" t="s">
        <v>1213</v>
      </c>
      <c r="D177" s="108">
        <v>76781</v>
      </c>
      <c r="E177" s="109">
        <f>'5-2. 30년이상 건축물(시군구별) '!D177</f>
        <v>9074777.1576000005</v>
      </c>
      <c r="F177" s="110">
        <f t="shared" si="4"/>
        <v>65.090893919679814</v>
      </c>
      <c r="G177" s="109">
        <f>'5-2. 30년이상 건축물(시군구별) '!G177</f>
        <v>3143701.1516999998</v>
      </c>
      <c r="H177" s="110">
        <f t="shared" si="5"/>
        <v>22.548908323231743</v>
      </c>
    </row>
    <row r="178" spans="2:8" ht="18" customHeight="1">
      <c r="B178" s="66" t="s">
        <v>1060</v>
      </c>
      <c r="C178" s="66" t="s">
        <v>1214</v>
      </c>
      <c r="D178" s="108">
        <v>81430</v>
      </c>
      <c r="E178" s="109">
        <f>'5-2. 30년이상 건축물(시군구별) '!D178</f>
        <v>9708766.8609999996</v>
      </c>
      <c r="F178" s="110">
        <f t="shared" si="4"/>
        <v>69.638328618461159</v>
      </c>
      <c r="G178" s="109">
        <f>'5-2. 30년이상 건축물(시군구별) '!G178</f>
        <v>2918926.9684000001</v>
      </c>
      <c r="H178" s="110">
        <f t="shared" si="5"/>
        <v>20.936664599008729</v>
      </c>
    </row>
    <row r="179" spans="2:8" ht="18" customHeight="1">
      <c r="B179" s="66" t="s">
        <v>1060</v>
      </c>
      <c r="C179" s="66" t="s">
        <v>1215</v>
      </c>
      <c r="D179" s="108">
        <v>97827</v>
      </c>
      <c r="E179" s="109">
        <f>'5-2. 30년이상 건축물(시군구별) '!D179</f>
        <v>11834661.958799999</v>
      </c>
      <c r="F179" s="110">
        <f t="shared" si="4"/>
        <v>84.886792563317243</v>
      </c>
      <c r="G179" s="109">
        <f>'5-2. 30년이상 건축물(시군구별) '!G179</f>
        <v>4132535.1542000002</v>
      </c>
      <c r="H179" s="110">
        <f t="shared" si="5"/>
        <v>29.641544102942973</v>
      </c>
    </row>
    <row r="180" spans="2:8" ht="18" customHeight="1">
      <c r="B180" s="66" t="s">
        <v>1060</v>
      </c>
      <c r="C180" s="66" t="s">
        <v>1216</v>
      </c>
      <c r="D180" s="108">
        <v>24465</v>
      </c>
      <c r="E180" s="109">
        <f>'5-2. 30년이상 건축물(시군구별) '!D180</f>
        <v>3055153.7072999999</v>
      </c>
      <c r="F180" s="110">
        <f t="shared" si="4"/>
        <v>21.913781728913978</v>
      </c>
      <c r="G180" s="109">
        <f>'5-2. 30년이상 건축물(시군구별) '!G180</f>
        <v>967329.08429999999</v>
      </c>
      <c r="H180" s="110">
        <f t="shared" si="5"/>
        <v>6.9383868846697316</v>
      </c>
    </row>
    <row r="181" spans="2:8" ht="18" customHeight="1">
      <c r="B181" s="66" t="s">
        <v>1060</v>
      </c>
      <c r="C181" s="66" t="s">
        <v>1217</v>
      </c>
      <c r="D181" s="108">
        <v>23251</v>
      </c>
      <c r="E181" s="109">
        <f>'5-2. 30년이상 건축물(시군구별) '!D181</f>
        <v>2766338.9512</v>
      </c>
      <c r="F181" s="110">
        <f t="shared" si="4"/>
        <v>19.842192495893613</v>
      </c>
      <c r="G181" s="109">
        <f>'5-2. 30년이상 건축물(시군구별) '!G181</f>
        <v>961940.03090000001</v>
      </c>
      <c r="H181" s="110">
        <f t="shared" si="5"/>
        <v>6.8997326789415929</v>
      </c>
    </row>
    <row r="182" spans="2:8" ht="18" customHeight="1">
      <c r="B182" s="66" t="s">
        <v>1060</v>
      </c>
      <c r="C182" s="66" t="s">
        <v>1218</v>
      </c>
      <c r="D182" s="108">
        <v>20983</v>
      </c>
      <c r="E182" s="109">
        <f>'5-2. 30년이상 건축물(시군구별) '!D182</f>
        <v>2981286.9111000001</v>
      </c>
      <c r="F182" s="110">
        <f t="shared" si="4"/>
        <v>21.383955407877089</v>
      </c>
      <c r="G182" s="109">
        <f>'5-2. 30년이상 건축물(시군구별) '!G182</f>
        <v>804902.0662</v>
      </c>
      <c r="H182" s="110">
        <f t="shared" si="5"/>
        <v>5.7733423198031808</v>
      </c>
    </row>
    <row r="183" spans="2:8" ht="18" customHeight="1">
      <c r="B183" s="66" t="s">
        <v>1060</v>
      </c>
      <c r="C183" s="66" t="s">
        <v>1219</v>
      </c>
      <c r="D183" s="108">
        <v>25956</v>
      </c>
      <c r="E183" s="109">
        <f>'5-2. 30년이상 건축물(시군구별) '!D183</f>
        <v>4283948.1025999999</v>
      </c>
      <c r="F183" s="110">
        <f t="shared" si="4"/>
        <v>30.727587759025081</v>
      </c>
      <c r="G183" s="109">
        <f>'5-2. 30년이상 건축물(시군구별) '!G183</f>
        <v>736742.9754</v>
      </c>
      <c r="H183" s="110">
        <f t="shared" si="5"/>
        <v>5.2844558081152231</v>
      </c>
    </row>
    <row r="184" spans="2:8" ht="18" customHeight="1">
      <c r="B184" s="66" t="s">
        <v>1060</v>
      </c>
      <c r="C184" s="66" t="s">
        <v>1220</v>
      </c>
      <c r="D184" s="108">
        <v>26764</v>
      </c>
      <c r="E184" s="109">
        <f>'5-2. 30년이상 건축물(시군구별) '!D184</f>
        <v>3562950.0021000002</v>
      </c>
      <c r="F184" s="110">
        <f t="shared" si="4"/>
        <v>25.556065631164063</v>
      </c>
      <c r="G184" s="109">
        <f>'5-2. 30년이상 건축물(시군구별) '!G184</f>
        <v>989027.88910000003</v>
      </c>
      <c r="H184" s="110">
        <f t="shared" si="5"/>
        <v>7.0940264752505078</v>
      </c>
    </row>
    <row r="185" spans="2:8" ht="18" customHeight="1">
      <c r="B185" s="66" t="s">
        <v>1060</v>
      </c>
      <c r="C185" s="66" t="s">
        <v>1221</v>
      </c>
      <c r="D185" s="108">
        <v>51750</v>
      </c>
      <c r="E185" s="109">
        <f>'5-2. 30년이상 건축물(시군구별) '!D185</f>
        <v>5714799.9466000004</v>
      </c>
      <c r="F185" s="110">
        <f t="shared" si="4"/>
        <v>40.990696590803132</v>
      </c>
      <c r="G185" s="109">
        <f>'5-2. 30년이상 건축물(시군구별) '!G185</f>
        <v>1486626.3489000001</v>
      </c>
      <c r="H185" s="110">
        <f t="shared" si="5"/>
        <v>10.66316409691788</v>
      </c>
    </row>
    <row r="186" spans="2:8" ht="18" customHeight="1">
      <c r="B186" s="66" t="s">
        <v>1060</v>
      </c>
      <c r="C186" s="66" t="s">
        <v>1222</v>
      </c>
      <c r="D186" s="108">
        <v>49187</v>
      </c>
      <c r="E186" s="109">
        <f>'5-2. 30년이상 건축물(시군구별) '!D186</f>
        <v>6069103.9364</v>
      </c>
      <c r="F186" s="110">
        <f t="shared" si="4"/>
        <v>43.532022180939194</v>
      </c>
      <c r="G186" s="109">
        <f>'5-2. 30년이상 건축물(시군구별) '!G186</f>
        <v>2042244.6366000001</v>
      </c>
      <c r="H186" s="110">
        <f t="shared" si="5"/>
        <v>14.648462071339937</v>
      </c>
    </row>
    <row r="187" spans="2:8" ht="18" customHeight="1">
      <c r="B187" s="66" t="s">
        <v>1061</v>
      </c>
      <c r="C187" s="66" t="s">
        <v>1223</v>
      </c>
      <c r="D187" s="108">
        <v>214156</v>
      </c>
      <c r="E187" s="109">
        <f>'5-2. 30년이상 건축물(시군구별) '!D187</f>
        <v>16225649.441299999</v>
      </c>
      <c r="F187" s="110">
        <f t="shared" si="4"/>
        <v>116.3821445110711</v>
      </c>
      <c r="G187" s="109">
        <f>'5-2. 30년이상 건축물(시군구별) '!G187</f>
        <v>8943905.8388</v>
      </c>
      <c r="H187" s="110">
        <f t="shared" si="5"/>
        <v>64.152189753043032</v>
      </c>
    </row>
    <row r="188" spans="2:8" ht="18" customHeight="1">
      <c r="B188" s="66" t="s">
        <v>1061</v>
      </c>
      <c r="C188" s="66" t="s">
        <v>1224</v>
      </c>
      <c r="D188" s="108">
        <v>271696</v>
      </c>
      <c r="E188" s="109">
        <f>'5-2. 30년이상 건축물(시군구별) '!D188</f>
        <v>24704494.259500001</v>
      </c>
      <c r="F188" s="110">
        <f t="shared" si="4"/>
        <v>177.19857879239979</v>
      </c>
      <c r="G188" s="109">
        <f>'5-2. 30년이상 건축물(시군구별) '!G188</f>
        <v>11315263.0318</v>
      </c>
      <c r="H188" s="110">
        <f t="shared" si="5"/>
        <v>81.161286154486177</v>
      </c>
    </row>
    <row r="189" spans="2:8" ht="18" customHeight="1">
      <c r="B189" s="66" t="s">
        <v>1061</v>
      </c>
      <c r="C189" s="66" t="s">
        <v>1225</v>
      </c>
      <c r="D189" s="108">
        <v>278137</v>
      </c>
      <c r="E189" s="109">
        <f>'5-2. 30년이상 건축물(시군구별) '!D189</f>
        <v>21351582.980700001</v>
      </c>
      <c r="F189" s="110">
        <f t="shared" si="4"/>
        <v>153.14906346213161</v>
      </c>
      <c r="G189" s="109">
        <f>'5-2. 30년이상 건축물(시군구별) '!G189</f>
        <v>11312957.7096</v>
      </c>
      <c r="H189" s="110">
        <f t="shared" si="5"/>
        <v>81.144750709024009</v>
      </c>
    </row>
    <row r="190" spans="2:8" ht="18" customHeight="1">
      <c r="B190" s="66" t="s">
        <v>1061</v>
      </c>
      <c r="C190" s="66" t="s">
        <v>1226</v>
      </c>
      <c r="D190" s="108">
        <v>117377</v>
      </c>
      <c r="E190" s="109">
        <f>'5-2. 30년이상 건축물(시군구별) '!D190</f>
        <v>15251791.723999999</v>
      </c>
      <c r="F190" s="110">
        <f t="shared" si="4"/>
        <v>109.39692952796287</v>
      </c>
      <c r="G190" s="109">
        <f>'5-2. 30년이상 건축물(시군구별) '!G190</f>
        <v>5352697.5398000004</v>
      </c>
      <c r="H190" s="110">
        <f t="shared" si="5"/>
        <v>38.393435088977675</v>
      </c>
    </row>
    <row r="191" spans="2:8" ht="18" customHeight="1">
      <c r="B191" s="66" t="s">
        <v>1061</v>
      </c>
      <c r="C191" s="66" t="s">
        <v>1227</v>
      </c>
      <c r="D191" s="108">
        <v>152666</v>
      </c>
      <c r="E191" s="109">
        <f>'5-2. 30년이상 건축물(시군구별) '!D191</f>
        <v>17867192.248100001</v>
      </c>
      <c r="F191" s="110">
        <f t="shared" si="4"/>
        <v>128.15648197924213</v>
      </c>
      <c r="G191" s="109">
        <f>'5-2. 30년이상 건축물(시군구별) '!G191</f>
        <v>6498500.3272000002</v>
      </c>
      <c r="H191" s="110">
        <f t="shared" si="5"/>
        <v>46.611965020047769</v>
      </c>
    </row>
    <row r="192" spans="2:8" ht="18" customHeight="1">
      <c r="B192" s="66" t="s">
        <v>1061</v>
      </c>
      <c r="C192" s="66" t="s">
        <v>1228</v>
      </c>
      <c r="D192" s="108">
        <v>45373</v>
      </c>
      <c r="E192" s="109">
        <f>'5-2. 30년이상 건축물(시군구별) '!D192</f>
        <v>5421820.4447999997</v>
      </c>
      <c r="F192" s="110">
        <f t="shared" si="4"/>
        <v>38.889234776246795</v>
      </c>
      <c r="G192" s="109">
        <f>'5-2. 30년이상 건축물(시군구별) '!G192</f>
        <v>1955345.9006000001</v>
      </c>
      <c r="H192" s="110">
        <f t="shared" si="5"/>
        <v>14.025161211330039</v>
      </c>
    </row>
    <row r="193" spans="2:8" ht="18" customHeight="1">
      <c r="B193" s="66" t="s">
        <v>1061</v>
      </c>
      <c r="C193" s="66" t="s">
        <v>1229</v>
      </c>
      <c r="D193" s="108">
        <v>26905</v>
      </c>
      <c r="E193" s="109">
        <f>'5-2. 30년이상 건축물(시군구별) '!D193</f>
        <v>3430538.1272</v>
      </c>
      <c r="F193" s="110">
        <f t="shared" si="4"/>
        <v>24.606311477079554</v>
      </c>
      <c r="G193" s="109">
        <f>'5-2. 30년이상 건축물(시군구별) '!G193</f>
        <v>1023349.9603</v>
      </c>
      <c r="H193" s="110">
        <f t="shared" si="5"/>
        <v>7.3402093023089012</v>
      </c>
    </row>
    <row r="194" spans="2:8" ht="18" customHeight="1">
      <c r="B194" s="66" t="s">
        <v>1061</v>
      </c>
      <c r="C194" s="66" t="s">
        <v>1230</v>
      </c>
      <c r="D194" s="108">
        <v>24314</v>
      </c>
      <c r="E194" s="109">
        <f>'5-2. 30년이상 건축물(시군구별) '!D194</f>
        <v>2399058.3363999999</v>
      </c>
      <c r="F194" s="110">
        <f t="shared" si="4"/>
        <v>17.207789124712193</v>
      </c>
      <c r="G194" s="109">
        <f>'5-2. 30년이상 건축물(시군구별) '!G194</f>
        <v>988373.84779999999</v>
      </c>
      <c r="H194" s="110">
        <f t="shared" si="5"/>
        <v>7.0893352159349288</v>
      </c>
    </row>
    <row r="195" spans="2:8" ht="18" customHeight="1">
      <c r="B195" s="66" t="s">
        <v>1061</v>
      </c>
      <c r="C195" s="66" t="s">
        <v>1231</v>
      </c>
      <c r="D195" s="108">
        <v>61113</v>
      </c>
      <c r="E195" s="109">
        <f>'5-2. 30년이상 건축물(시군구별) '!D195</f>
        <v>6503870.1873000003</v>
      </c>
      <c r="F195" s="110">
        <f t="shared" si="4"/>
        <v>46.650481557485818</v>
      </c>
      <c r="G195" s="109">
        <f>'5-2. 30년이상 건축물(시군구별) '!G195</f>
        <v>2395424.7105999999</v>
      </c>
      <c r="H195" s="110">
        <f t="shared" si="5"/>
        <v>17.181726120917823</v>
      </c>
    </row>
    <row r="196" spans="2:8" ht="18" customHeight="1">
      <c r="B196" s="66" t="s">
        <v>1061</v>
      </c>
      <c r="C196" s="66" t="s">
        <v>1232</v>
      </c>
      <c r="D196" s="108">
        <v>37686</v>
      </c>
      <c r="E196" s="109">
        <f>'5-2. 30년이상 건축물(시군구별) '!D196</f>
        <v>4729450.2714999998</v>
      </c>
      <c r="F196" s="110">
        <f t="shared" si="4"/>
        <v>33.923052938307379</v>
      </c>
      <c r="G196" s="109">
        <f>'5-2. 30년이상 건축물(시군구별) '!G196</f>
        <v>1842588.5963999999</v>
      </c>
      <c r="H196" s="110">
        <f t="shared" si="5"/>
        <v>13.216383915878264</v>
      </c>
    </row>
    <row r="197" spans="2:8" ht="18" customHeight="1">
      <c r="B197" s="66" t="s">
        <v>1061</v>
      </c>
      <c r="C197" s="66" t="s">
        <v>1233</v>
      </c>
      <c r="D197" s="108">
        <v>61254</v>
      </c>
      <c r="E197" s="109">
        <f>'5-2. 30년이상 건축물(시군구별) '!D197</f>
        <v>6080694.2894000001</v>
      </c>
      <c r="F197" s="110">
        <f t="shared" si="4"/>
        <v>43.615156612177856</v>
      </c>
      <c r="G197" s="109">
        <f>'5-2. 30년이상 건축물(시군구별) '!G197</f>
        <v>2621398.6332</v>
      </c>
      <c r="H197" s="110">
        <f t="shared" si="5"/>
        <v>18.802575246921108</v>
      </c>
    </row>
    <row r="198" spans="2:8" ht="18" customHeight="1">
      <c r="B198" s="66" t="s">
        <v>1061</v>
      </c>
      <c r="C198" s="66" t="s">
        <v>1234</v>
      </c>
      <c r="D198" s="108">
        <v>35046</v>
      </c>
      <c r="E198" s="109">
        <f>'5-2. 30년이상 건축물(시군구별) '!D198</f>
        <v>5111212.8618999999</v>
      </c>
      <c r="F198" s="110">
        <f t="shared" si="4"/>
        <v>36.661331558561727</v>
      </c>
      <c r="G198" s="109">
        <f>'5-2. 30년이상 건축물(시군구별) '!G198</f>
        <v>1484617.3341000001</v>
      </c>
      <c r="H198" s="110">
        <f t="shared" si="5"/>
        <v>10.64875398337362</v>
      </c>
    </row>
    <row r="199" spans="2:8" ht="18" customHeight="1">
      <c r="B199" s="66" t="s">
        <v>1061</v>
      </c>
      <c r="C199" s="66" t="s">
        <v>1235</v>
      </c>
      <c r="D199" s="108">
        <v>32722</v>
      </c>
      <c r="E199" s="109">
        <f>'5-2. 30년이상 건축물(시군구별) '!D199</f>
        <v>4275328.0795999998</v>
      </c>
      <c r="F199" s="110">
        <f t="shared" si="4"/>
        <v>30.665758692268518</v>
      </c>
      <c r="G199" s="109">
        <f>'5-2. 30년이상 건축물(시군구별) '!G199</f>
        <v>1424511.8517</v>
      </c>
      <c r="H199" s="110">
        <f t="shared" si="5"/>
        <v>10.217633801473278</v>
      </c>
    </row>
    <row r="200" spans="2:8" ht="18" customHeight="1">
      <c r="B200" s="66" t="s">
        <v>1061</v>
      </c>
      <c r="C200" s="66" t="s">
        <v>1236</v>
      </c>
      <c r="D200" s="108">
        <v>64575</v>
      </c>
      <c r="E200" s="109">
        <f>'5-2. 30년이상 건축물(시군구별) '!D200</f>
        <v>7329047.1437999997</v>
      </c>
      <c r="F200" s="110">
        <f t="shared" ref="F200:F255" si="6">E200/$D$6</f>
        <v>52.569250118708624</v>
      </c>
      <c r="G200" s="109">
        <f>'5-2. 30년이상 건축물(시군구별) '!G200</f>
        <v>2624339.0989999999</v>
      </c>
      <c r="H200" s="110">
        <f t="shared" ref="H200:H255" si="7">G200/$D$6</f>
        <v>18.823666403666696</v>
      </c>
    </row>
    <row r="201" spans="2:8" ht="18" customHeight="1">
      <c r="B201" s="66" t="s">
        <v>1061</v>
      </c>
      <c r="C201" s="66" t="s">
        <v>1237</v>
      </c>
      <c r="D201" s="108">
        <v>52350</v>
      </c>
      <c r="E201" s="109">
        <f>'5-2. 30년이상 건축물(시군구별) '!D201</f>
        <v>9330918.1558999997</v>
      </c>
      <c r="F201" s="110">
        <f t="shared" si="6"/>
        <v>66.928123226722704</v>
      </c>
      <c r="G201" s="109">
        <f>'5-2. 30년이상 건축물(시군구별) '!G201</f>
        <v>2350006.8028000002</v>
      </c>
      <c r="H201" s="110">
        <f t="shared" si="7"/>
        <v>16.855955893470668</v>
      </c>
    </row>
    <row r="202" spans="2:8" ht="18" customHeight="1">
      <c r="B202" s="66" t="s">
        <v>1061</v>
      </c>
      <c r="C202" s="66" t="s">
        <v>1238</v>
      </c>
      <c r="D202" s="108">
        <v>90296</v>
      </c>
      <c r="E202" s="109">
        <f>'5-2. 30년이상 건축물(시군구별) '!D202</f>
        <v>9652534.7887999993</v>
      </c>
      <c r="F202" s="110">
        <f t="shared" si="6"/>
        <v>69.234991348257381</v>
      </c>
      <c r="G202" s="109">
        <f>'5-2. 30년이상 건축물(시군구별) '!G202</f>
        <v>3517096.1172000002</v>
      </c>
      <c r="H202" s="110">
        <f t="shared" si="7"/>
        <v>25.227168259251027</v>
      </c>
    </row>
    <row r="203" spans="2:8" ht="18" customHeight="1">
      <c r="B203" s="66" t="s">
        <v>1061</v>
      </c>
      <c r="C203" s="66" t="s">
        <v>1239</v>
      </c>
      <c r="D203" s="108">
        <v>30601</v>
      </c>
      <c r="E203" s="109">
        <f>'5-2. 30년이상 건축물(시군구별) '!D203</f>
        <v>4574339.1857000003</v>
      </c>
      <c r="F203" s="110">
        <f t="shared" si="6"/>
        <v>32.810483554372851</v>
      </c>
      <c r="G203" s="109">
        <f>'5-2. 30년이상 건축물(시군구별) '!G203</f>
        <v>844613.50179999997</v>
      </c>
      <c r="H203" s="110">
        <f t="shared" si="7"/>
        <v>6.0581815833076309</v>
      </c>
    </row>
    <row r="204" spans="2:8" ht="18" customHeight="1">
      <c r="B204" s="66" t="s">
        <v>1061</v>
      </c>
      <c r="C204" s="66" t="s">
        <v>1240</v>
      </c>
      <c r="D204" s="108">
        <v>51750</v>
      </c>
      <c r="E204" s="109">
        <f>'5-2. 30년이상 건축물(시군구별) '!D204</f>
        <v>5497756.2790000001</v>
      </c>
      <c r="F204" s="110">
        <f t="shared" si="6"/>
        <v>39.433901740820701</v>
      </c>
      <c r="G204" s="109">
        <f>'5-2. 30년이상 건축물(시군구별) '!G204</f>
        <v>1639980.727</v>
      </c>
      <c r="H204" s="110">
        <f t="shared" si="7"/>
        <v>11.763133097111544</v>
      </c>
    </row>
    <row r="205" spans="2:8" ht="18" customHeight="1">
      <c r="B205" s="66" t="s">
        <v>1061</v>
      </c>
      <c r="C205" s="66" t="s">
        <v>1241</v>
      </c>
      <c r="D205" s="108">
        <v>42543</v>
      </c>
      <c r="E205" s="109">
        <f>'5-2. 30년이상 건축물(시군구별) '!D205</f>
        <v>4870256.1242000004</v>
      </c>
      <c r="F205" s="110">
        <f t="shared" si="6"/>
        <v>34.933014798769165</v>
      </c>
      <c r="G205" s="109">
        <f>'5-2. 30년이상 건축물(시군구별) '!G205</f>
        <v>1619822.9601</v>
      </c>
      <c r="H205" s="110">
        <f t="shared" si="7"/>
        <v>11.618546949798088</v>
      </c>
    </row>
    <row r="206" spans="2:8" ht="18" customHeight="1">
      <c r="B206" s="66" t="s">
        <v>1061</v>
      </c>
      <c r="C206" s="66" t="s">
        <v>1242</v>
      </c>
      <c r="D206" s="108">
        <v>46641</v>
      </c>
      <c r="E206" s="109">
        <f>'5-2. 30년이상 건축물(시군구별) '!D206</f>
        <v>4504911.2882200005</v>
      </c>
      <c r="F206" s="110">
        <f t="shared" si="6"/>
        <v>32.312496239482996</v>
      </c>
      <c r="G206" s="109">
        <f>'5-2. 30년이상 건축물(시군구별) '!G206</f>
        <v>1838032.72422</v>
      </c>
      <c r="H206" s="110">
        <f t="shared" si="7"/>
        <v>13.183705891103667</v>
      </c>
    </row>
    <row r="207" spans="2:8" ht="18" customHeight="1">
      <c r="B207" s="66" t="s">
        <v>1061</v>
      </c>
      <c r="C207" s="66" t="s">
        <v>1243</v>
      </c>
      <c r="D207" s="108">
        <v>28979</v>
      </c>
      <c r="E207" s="109">
        <f>'5-2. 30년이상 건축물(시군구별) '!D207</f>
        <v>2699997.3676</v>
      </c>
      <c r="F207" s="110">
        <f t="shared" si="6"/>
        <v>19.366342466126799</v>
      </c>
      <c r="G207" s="109">
        <f>'5-2. 30년이상 건축물(시군구별) '!G207</f>
        <v>1209659.7830999999</v>
      </c>
      <c r="H207" s="110">
        <f t="shared" si="7"/>
        <v>8.6765586915512447</v>
      </c>
    </row>
    <row r="208" spans="2:8" ht="18" customHeight="1">
      <c r="B208" s="66" t="s">
        <v>1061</v>
      </c>
      <c r="C208" s="66" t="s">
        <v>1244</v>
      </c>
      <c r="D208" s="108">
        <v>38037</v>
      </c>
      <c r="E208" s="109">
        <f>'5-2. 30년이상 건축물(시군구별) '!D208</f>
        <v>3574108.3807000001</v>
      </c>
      <c r="F208" s="110">
        <f t="shared" si="6"/>
        <v>25.636101628208898</v>
      </c>
      <c r="G208" s="109">
        <f>'5-2. 30년이상 건축물(시군구별) '!G208</f>
        <v>1454051.7503</v>
      </c>
      <c r="H208" s="110">
        <f t="shared" si="7"/>
        <v>10.429515412754542</v>
      </c>
    </row>
    <row r="209" spans="2:8" ht="18" customHeight="1">
      <c r="B209" s="66" t="s">
        <v>1062</v>
      </c>
      <c r="C209" s="66" t="s">
        <v>1245</v>
      </c>
      <c r="D209" s="108">
        <v>226278</v>
      </c>
      <c r="E209" s="109">
        <f>'5-2. 30년이상 건축물(시군구별) '!D209</f>
        <v>28904756.954799999</v>
      </c>
      <c r="F209" s="110">
        <f t="shared" si="6"/>
        <v>207.3259140190938</v>
      </c>
      <c r="G209" s="109">
        <f>'5-2. 30년이상 건축물(시군구별) '!G209</f>
        <v>9111688.0703999996</v>
      </c>
      <c r="H209" s="110">
        <f t="shared" si="7"/>
        <v>65.355645799292773</v>
      </c>
    </row>
    <row r="210" spans="2:8" ht="18" customHeight="1">
      <c r="B210" s="66" t="s">
        <v>1062</v>
      </c>
      <c r="C210" s="66" t="s">
        <v>1246</v>
      </c>
      <c r="D210" s="108">
        <v>266755</v>
      </c>
      <c r="E210" s="109">
        <f>'5-2. 30년이상 건축물(시군구별) '!D210</f>
        <v>20784890.3343</v>
      </c>
      <c r="F210" s="110">
        <f t="shared" si="6"/>
        <v>149.08433214242166</v>
      </c>
      <c r="G210" s="109">
        <f>'5-2. 30년이상 건축물(시군구별) '!G210</f>
        <v>11697770.867699999</v>
      </c>
      <c r="H210" s="110">
        <f t="shared" si="7"/>
        <v>83.90491021683151</v>
      </c>
    </row>
    <row r="211" spans="2:8" ht="18" customHeight="1">
      <c r="B211" s="66" t="s">
        <v>1062</v>
      </c>
      <c r="C211" s="66" t="s">
        <v>1247</v>
      </c>
      <c r="D211" s="108">
        <v>247489</v>
      </c>
      <c r="E211" s="109">
        <f>'5-2. 30년이상 건축물(시군구별) '!D211</f>
        <v>27747847.4639</v>
      </c>
      <c r="F211" s="110">
        <f t="shared" si="6"/>
        <v>199.02771874233414</v>
      </c>
      <c r="G211" s="109">
        <f>'5-2. 30년이상 건축물(시군구별) '!G211</f>
        <v>10691123.656500001</v>
      </c>
      <c r="H211" s="110">
        <f t="shared" si="7"/>
        <v>76.684505164363031</v>
      </c>
    </row>
    <row r="212" spans="2:8" ht="18" customHeight="1">
      <c r="B212" s="66" t="s">
        <v>1062</v>
      </c>
      <c r="C212" s="66" t="s">
        <v>1248</v>
      </c>
      <c r="D212" s="108">
        <v>137515</v>
      </c>
      <c r="E212" s="109">
        <f>'5-2. 30년이상 건축물(시군구별) '!D212</f>
        <v>15137295.3412</v>
      </c>
      <c r="F212" s="110">
        <f t="shared" si="6"/>
        <v>108.57567829748166</v>
      </c>
      <c r="G212" s="109">
        <f>'5-2. 30년이상 건축물(시군구별) '!G212</f>
        <v>5941695.0281999996</v>
      </c>
      <c r="H212" s="110">
        <f t="shared" si="7"/>
        <v>42.618152938307375</v>
      </c>
    </row>
    <row r="213" spans="2:8" ht="18" customHeight="1">
      <c r="B213" s="66" t="s">
        <v>1062</v>
      </c>
      <c r="C213" s="66" t="s">
        <v>1249</v>
      </c>
      <c r="D213" s="108">
        <v>152935</v>
      </c>
      <c r="E213" s="109">
        <f>'5-2. 30년이상 건축물(시군구별) '!D213</f>
        <v>15018138.9816</v>
      </c>
      <c r="F213" s="110">
        <f t="shared" si="6"/>
        <v>107.72100232826699</v>
      </c>
      <c r="G213" s="109">
        <f>'5-2. 30년이상 건축물(시군구별) '!G213</f>
        <v>6768330.7344000004</v>
      </c>
      <c r="H213" s="110">
        <f t="shared" si="7"/>
        <v>48.547384712050899</v>
      </c>
    </row>
    <row r="214" spans="2:8" ht="18" customHeight="1">
      <c r="B214" s="66" t="s">
        <v>1062</v>
      </c>
      <c r="C214" s="66" t="s">
        <v>1250</v>
      </c>
      <c r="D214" s="108">
        <v>405506</v>
      </c>
      <c r="E214" s="109">
        <f>'5-2. 30년이상 건축물(시군구별) '!D214</f>
        <v>40095492.348899998</v>
      </c>
      <c r="F214" s="110">
        <f t="shared" si="6"/>
        <v>287.59399749600118</v>
      </c>
      <c r="G214" s="109">
        <f>'5-2. 30년이상 건축물(시군구별) '!G214</f>
        <v>16900002.1239</v>
      </c>
      <c r="H214" s="110">
        <f t="shared" si="7"/>
        <v>121.2190918173537</v>
      </c>
    </row>
    <row r="215" spans="2:8" ht="18" customHeight="1">
      <c r="B215" s="66" t="s">
        <v>1062</v>
      </c>
      <c r="C215" s="66" t="s">
        <v>1251</v>
      </c>
      <c r="D215" s="108">
        <v>100199</v>
      </c>
      <c r="E215" s="109">
        <f>'5-2. 30년이상 건축물(시군구별) '!D215</f>
        <v>9798235.9148999993</v>
      </c>
      <c r="F215" s="110">
        <f t="shared" si="6"/>
        <v>70.280065665593142</v>
      </c>
      <c r="G215" s="109">
        <f>'5-2. 30년이상 건축물(시군구별) '!G215</f>
        <v>3968830.2799</v>
      </c>
      <c r="H215" s="110">
        <f t="shared" si="7"/>
        <v>28.467333825143275</v>
      </c>
    </row>
    <row r="216" spans="2:8" ht="18" customHeight="1">
      <c r="B216" s="66" t="s">
        <v>1062</v>
      </c>
      <c r="C216" s="66" t="s">
        <v>1252</v>
      </c>
      <c r="D216" s="108">
        <v>100212</v>
      </c>
      <c r="E216" s="109">
        <f>'5-2. 30년이상 건축물(시군구별) '!D216</f>
        <v>11162952.6625</v>
      </c>
      <c r="F216" s="110">
        <f t="shared" si="6"/>
        <v>80.068805543800252</v>
      </c>
      <c r="G216" s="109">
        <f>'5-2. 30년이상 건축물(시군구별) '!G216</f>
        <v>3812762.1708</v>
      </c>
      <c r="H216" s="110">
        <f t="shared" si="7"/>
        <v>27.347899974895459</v>
      </c>
    </row>
    <row r="217" spans="2:8" ht="18" customHeight="1">
      <c r="B217" s="66" t="s">
        <v>1062</v>
      </c>
      <c r="C217" s="66" t="s">
        <v>1253</v>
      </c>
      <c r="D217" s="108">
        <v>93858</v>
      </c>
      <c r="E217" s="109">
        <f>'5-2. 30년이상 건축물(시군구별) '!D217</f>
        <v>11173492.8488</v>
      </c>
      <c r="F217" s="110">
        <f t="shared" si="6"/>
        <v>80.144407416599122</v>
      </c>
      <c r="G217" s="109">
        <f>'5-2. 30년이상 건축물(시군구별) '!G217</f>
        <v>4119998.7864999999</v>
      </c>
      <c r="H217" s="110">
        <f t="shared" si="7"/>
        <v>29.551624167067143</v>
      </c>
    </row>
    <row r="218" spans="2:8" ht="18" customHeight="1">
      <c r="B218" s="66" t="s">
        <v>1062</v>
      </c>
      <c r="C218" s="66" t="s">
        <v>1254</v>
      </c>
      <c r="D218" s="108">
        <v>68755</v>
      </c>
      <c r="E218" s="109">
        <f>'5-2. 30년이상 건축물(시군구별) '!D218</f>
        <v>7211998.4704999998</v>
      </c>
      <c r="F218" s="110">
        <f t="shared" si="6"/>
        <v>51.72969200671367</v>
      </c>
      <c r="G218" s="109">
        <f>'5-2. 30년이상 건축물(시군구별) '!G218</f>
        <v>2940609.0397999999</v>
      </c>
      <c r="H218" s="110">
        <f t="shared" si="7"/>
        <v>21.092184165489144</v>
      </c>
    </row>
    <row r="219" spans="2:8" ht="18" customHeight="1">
      <c r="B219" s="66" t="s">
        <v>1062</v>
      </c>
      <c r="C219" s="66" t="s">
        <v>1255</v>
      </c>
      <c r="D219" s="108">
        <v>266205</v>
      </c>
      <c r="E219" s="109">
        <f>'5-2. 30년이상 건축물(시군구별) '!D219</f>
        <v>24972093.415399998</v>
      </c>
      <c r="F219" s="110">
        <f t="shared" si="6"/>
        <v>179.11799432924246</v>
      </c>
      <c r="G219" s="109">
        <f>'5-2. 30년이상 건축물(시군구별) '!G219</f>
        <v>11429122.863</v>
      </c>
      <c r="H219" s="110">
        <f t="shared" si="7"/>
        <v>81.977971574485181</v>
      </c>
    </row>
    <row r="220" spans="2:8" ht="18" customHeight="1">
      <c r="B220" s="66" t="s">
        <v>1062</v>
      </c>
      <c r="C220" s="66" t="s">
        <v>1257</v>
      </c>
      <c r="D220" s="108">
        <v>50086</v>
      </c>
      <c r="E220" s="109">
        <f>'5-2. 30년이상 건축물(시군구별) '!D220</f>
        <v>5965762.4578999998</v>
      </c>
      <c r="F220" s="110">
        <f t="shared" si="6"/>
        <v>42.790782027299393</v>
      </c>
      <c r="G220" s="109">
        <f>'5-2. 30년이상 건축물(시군구별) '!G220</f>
        <v>2143269.3092</v>
      </c>
      <c r="H220" s="110">
        <f t="shared" si="7"/>
        <v>15.373084410079116</v>
      </c>
    </row>
    <row r="221" spans="2:8" ht="18" customHeight="1">
      <c r="B221" s="66" t="s">
        <v>1062</v>
      </c>
      <c r="C221" s="66" t="s">
        <v>1258</v>
      </c>
      <c r="D221" s="108">
        <v>24019</v>
      </c>
      <c r="E221" s="109">
        <f>'5-2. 30년이상 건축물(시군구별) '!D221</f>
        <v>2386954.5282999999</v>
      </c>
      <c r="F221" s="110">
        <f t="shared" si="6"/>
        <v>17.120971820509695</v>
      </c>
      <c r="G221" s="109">
        <f>'5-2. 30년이상 건축물(시군구별) '!G221</f>
        <v>868944.57579999999</v>
      </c>
      <c r="H221" s="110">
        <f t="shared" si="7"/>
        <v>6.2327017207370696</v>
      </c>
    </row>
    <row r="222" spans="2:8" ht="18" customHeight="1">
      <c r="B222" s="66" t="s">
        <v>1062</v>
      </c>
      <c r="C222" s="66" t="s">
        <v>1259</v>
      </c>
      <c r="D222" s="108">
        <v>15661</v>
      </c>
      <c r="E222" s="109">
        <f>'5-2. 30년이상 건축물(시군구별) '!D222</f>
        <v>1488777.4209</v>
      </c>
      <c r="F222" s="110">
        <f t="shared" si="6"/>
        <v>10.678593147894446</v>
      </c>
      <c r="G222" s="109">
        <f>'5-2. 30년이상 건축물(시군구별) '!G222</f>
        <v>652301.65370000002</v>
      </c>
      <c r="H222" s="110">
        <f t="shared" si="7"/>
        <v>4.6787813085922094</v>
      </c>
    </row>
    <row r="223" spans="2:8" ht="18" customHeight="1">
      <c r="B223" s="66" t="s">
        <v>1062</v>
      </c>
      <c r="C223" s="66" t="s">
        <v>1260</v>
      </c>
      <c r="D223" s="108">
        <v>34055</v>
      </c>
      <c r="E223" s="109">
        <f>'5-2. 30년이상 건축물(시군구별) '!D223</f>
        <v>3214890.0249000001</v>
      </c>
      <c r="F223" s="110">
        <f t="shared" si="6"/>
        <v>23.059526635202307</v>
      </c>
      <c r="G223" s="109">
        <f>'5-2. 30년이상 건축물(시군구별) '!G223</f>
        <v>1338398.7168000001</v>
      </c>
      <c r="H223" s="110">
        <f t="shared" si="7"/>
        <v>9.599967843232891</v>
      </c>
    </row>
    <row r="224" spans="2:8" ht="18" customHeight="1">
      <c r="B224" s="66" t="s">
        <v>1062</v>
      </c>
      <c r="C224" s="66" t="s">
        <v>1261</v>
      </c>
      <c r="D224" s="108">
        <v>41316</v>
      </c>
      <c r="E224" s="109">
        <f>'5-2. 30년이상 건축물(시군구별) '!D224</f>
        <v>4260702.0297999997</v>
      </c>
      <c r="F224" s="110">
        <f t="shared" si="6"/>
        <v>30.560850038374085</v>
      </c>
      <c r="G224" s="109">
        <f>'5-2. 30년이상 건축물(시군구별) '!G224</f>
        <v>1688534.1462999999</v>
      </c>
      <c r="H224" s="110">
        <f t="shared" si="7"/>
        <v>12.111393490750769</v>
      </c>
    </row>
    <row r="225" spans="2:8" ht="18" customHeight="1">
      <c r="B225" s="66" t="s">
        <v>1062</v>
      </c>
      <c r="C225" s="66" t="s">
        <v>1262</v>
      </c>
      <c r="D225" s="108">
        <v>30139</v>
      </c>
      <c r="E225" s="109">
        <f>'5-2. 30년이상 건축물(시군구별) '!D225</f>
        <v>4411134.7526000002</v>
      </c>
      <c r="F225" s="110">
        <f t="shared" si="6"/>
        <v>31.639862804392578</v>
      </c>
      <c r="G225" s="109">
        <f>'5-2. 30년이상 건축물(시군구별) '!G225</f>
        <v>1177126.892</v>
      </c>
      <c r="H225" s="110">
        <f t="shared" si="7"/>
        <v>8.4432091638752809</v>
      </c>
    </row>
    <row r="226" spans="2:8" ht="18" customHeight="1">
      <c r="B226" s="66" t="s">
        <v>1062</v>
      </c>
      <c r="C226" s="66" t="s">
        <v>1263</v>
      </c>
      <c r="D226" s="108">
        <v>42086</v>
      </c>
      <c r="E226" s="109">
        <f>'5-2. 30년이상 건축물(시군구별) '!D226</f>
        <v>6148717.2615</v>
      </c>
      <c r="F226" s="110">
        <f t="shared" si="6"/>
        <v>44.103066781669384</v>
      </c>
      <c r="G226" s="109">
        <f>'5-2. 30년이상 건축물(시군구별) '!G226</f>
        <v>1679181.8075000001</v>
      </c>
      <c r="H226" s="110">
        <f t="shared" si="7"/>
        <v>12.04431172310407</v>
      </c>
    </row>
    <row r="227" spans="2:8" ht="18" customHeight="1">
      <c r="B227" s="66" t="s">
        <v>1062</v>
      </c>
      <c r="C227" s="66" t="s">
        <v>1264</v>
      </c>
      <c r="D227" s="108">
        <v>110581</v>
      </c>
      <c r="E227" s="109">
        <f>'5-2. 30년이상 건축물(시군구별) '!D227</f>
        <v>13050804.8945</v>
      </c>
      <c r="F227" s="110">
        <f t="shared" si="6"/>
        <v>93.609853134840094</v>
      </c>
      <c r="G227" s="109">
        <f>'5-2. 30년이상 건축물(시군구별) '!G227</f>
        <v>4569287.4924999997</v>
      </c>
      <c r="H227" s="110">
        <f t="shared" si="7"/>
        <v>32.774249141066008</v>
      </c>
    </row>
    <row r="228" spans="2:8" ht="18" customHeight="1">
      <c r="B228" s="66" t="s">
        <v>1062</v>
      </c>
      <c r="C228" s="66" t="s">
        <v>1265</v>
      </c>
      <c r="D228" s="108">
        <v>55325</v>
      </c>
      <c r="E228" s="109">
        <f>'5-2. 30년이상 건축물(시군구별) '!D228</f>
        <v>6853720.8546000002</v>
      </c>
      <c r="F228" s="110">
        <f t="shared" si="6"/>
        <v>49.159864683646902</v>
      </c>
      <c r="G228" s="109">
        <f>'5-2. 30년이상 건축물(시군구별) '!G228</f>
        <v>2767579.7826999999</v>
      </c>
      <c r="H228" s="110">
        <f t="shared" si="7"/>
        <v>19.851092640782689</v>
      </c>
    </row>
    <row r="229" spans="2:8" ht="18" customHeight="1">
      <c r="B229" s="66" t="s">
        <v>1062</v>
      </c>
      <c r="C229" s="66" t="s">
        <v>1266</v>
      </c>
      <c r="D229" s="108">
        <v>29603</v>
      </c>
      <c r="E229" s="109">
        <f>'5-2. 30년이상 건축물(시군구별) '!D229</f>
        <v>3333111.5389999999</v>
      </c>
      <c r="F229" s="110">
        <f t="shared" si="6"/>
        <v>23.907497213395782</v>
      </c>
      <c r="G229" s="109">
        <f>'5-2. 30년이상 건축물(시군구별) '!G229</f>
        <v>1262699.7629</v>
      </c>
      <c r="H229" s="110">
        <f t="shared" si="7"/>
        <v>9.0569999562463686</v>
      </c>
    </row>
    <row r="230" spans="2:8" ht="18" customHeight="1">
      <c r="B230" s="66" t="s">
        <v>1062</v>
      </c>
      <c r="C230" s="66" t="s">
        <v>1267</v>
      </c>
      <c r="D230" s="108">
        <v>46669</v>
      </c>
      <c r="E230" s="109">
        <f>'5-2. 30년이상 건축물(시군구별) '!D230</f>
        <v>4738314.5362999998</v>
      </c>
      <c r="F230" s="110">
        <f t="shared" si="6"/>
        <v>33.986633884676905</v>
      </c>
      <c r="G230" s="109">
        <f>'5-2. 30년이상 건축물(시군구별) '!G230</f>
        <v>2044132.4510999999</v>
      </c>
      <c r="H230" s="110">
        <f t="shared" si="7"/>
        <v>14.662002848289664</v>
      </c>
    </row>
    <row r="231" spans="2:8" ht="18" customHeight="1">
      <c r="B231" s="66" t="s">
        <v>1062</v>
      </c>
      <c r="C231" s="66" t="s">
        <v>1268</v>
      </c>
      <c r="D231" s="108">
        <v>9077</v>
      </c>
      <c r="E231" s="109">
        <f>'5-2. 30년이상 건축물(시군구별) '!D231</f>
        <v>678215.41379999998</v>
      </c>
      <c r="F231" s="110">
        <f t="shared" si="6"/>
        <v>4.8646536204336632</v>
      </c>
      <c r="G231" s="109">
        <f>'5-2. 30년이상 건축물(시군구별) '!G231</f>
        <v>242882.79399999999</v>
      </c>
      <c r="H231" s="110">
        <f t="shared" si="7"/>
        <v>1.7421318347116923</v>
      </c>
    </row>
    <row r="232" spans="2:8" ht="18" customHeight="1">
      <c r="B232" s="66" t="s">
        <v>1063</v>
      </c>
      <c r="C232" s="66" t="s">
        <v>1269</v>
      </c>
      <c r="D232" s="108">
        <v>213342</v>
      </c>
      <c r="E232" s="109">
        <f>'5-2. 30년이상 건축물(시군구별) '!D232</f>
        <v>16638896.854</v>
      </c>
      <c r="F232" s="110">
        <f t="shared" si="6"/>
        <v>119.34625514822439</v>
      </c>
      <c r="G232" s="109">
        <f>'5-2. 30년이상 건축물(시군구별) '!G232</f>
        <v>8379833.5614</v>
      </c>
      <c r="H232" s="110">
        <f t="shared" si="7"/>
        <v>60.106253623302756</v>
      </c>
    </row>
    <row r="233" spans="2:8" ht="18" customHeight="1">
      <c r="B233" s="66" t="s">
        <v>1063</v>
      </c>
      <c r="C233" s="66" t="s">
        <v>1270</v>
      </c>
      <c r="D233" s="108">
        <v>245259</v>
      </c>
      <c r="E233" s="109">
        <f>'5-2. 30년이상 건축물(시군구별) '!D233</f>
        <v>25655929.457899999</v>
      </c>
      <c r="F233" s="110">
        <f t="shared" si="6"/>
        <v>184.02296318167797</v>
      </c>
      <c r="G233" s="109">
        <f>'5-2. 30년이상 건축물(시군구별) '!G233</f>
        <v>9127600.5275999997</v>
      </c>
      <c r="H233" s="110">
        <f t="shared" si="7"/>
        <v>65.469781501538549</v>
      </c>
    </row>
    <row r="234" spans="2:8" ht="18" customHeight="1">
      <c r="B234" s="66" t="s">
        <v>1063</v>
      </c>
      <c r="C234" s="66" t="s">
        <v>1271</v>
      </c>
      <c r="D234" s="108">
        <v>179394</v>
      </c>
      <c r="E234" s="109">
        <f>'5-2. 30년이상 건축물(시군구별) '!D234</f>
        <v>13199878.353499999</v>
      </c>
      <c r="F234" s="110">
        <f t="shared" si="6"/>
        <v>94.679116273481711</v>
      </c>
      <c r="G234" s="109">
        <f>'5-2. 30년이상 건축물(시군구별) '!G234</f>
        <v>6969499.5162000004</v>
      </c>
      <c r="H234" s="110">
        <f t="shared" si="7"/>
        <v>49.990313349161156</v>
      </c>
    </row>
    <row r="235" spans="2:8" ht="18" customHeight="1">
      <c r="B235" s="66" t="s">
        <v>1063</v>
      </c>
      <c r="C235" s="66" t="s">
        <v>1272</v>
      </c>
      <c r="D235" s="108">
        <v>179818</v>
      </c>
      <c r="E235" s="109">
        <f>'5-2. 30년이상 건축물(시군구별) '!D235</f>
        <v>12329624.3857</v>
      </c>
      <c r="F235" s="110">
        <f t="shared" si="6"/>
        <v>88.437022642145507</v>
      </c>
      <c r="G235" s="109">
        <f>'5-2. 30년이상 건축물(시군구별) '!G235</f>
        <v>6520386.4786999999</v>
      </c>
      <c r="H235" s="110">
        <f t="shared" si="7"/>
        <v>46.768948397254277</v>
      </c>
    </row>
    <row r="236" spans="2:8" ht="18" customHeight="1">
      <c r="B236" s="66" t="s">
        <v>1063</v>
      </c>
      <c r="C236" s="66" t="s">
        <v>1273</v>
      </c>
      <c r="D236" s="108">
        <v>191225</v>
      </c>
      <c r="E236" s="109">
        <f>'5-2. 30년이상 건축물(시군구별) '!D236</f>
        <v>14993480.4616</v>
      </c>
      <c r="F236" s="110">
        <f t="shared" si="6"/>
        <v>107.54413351026058</v>
      </c>
      <c r="G236" s="109">
        <f>'5-2. 30년이상 건축물(시군구별) '!G236</f>
        <v>7675002.29</v>
      </c>
      <c r="H236" s="110">
        <f t="shared" si="7"/>
        <v>55.050691737736429</v>
      </c>
    </row>
    <row r="237" spans="2:8" ht="18" customHeight="1">
      <c r="B237" s="66" t="s">
        <v>1063</v>
      </c>
      <c r="C237" s="66" t="s">
        <v>1274</v>
      </c>
      <c r="D237" s="108">
        <v>341074</v>
      </c>
      <c r="E237" s="109">
        <f>'5-2. 30년이상 건축물(시군구별) '!D237</f>
        <v>27005197.902399998</v>
      </c>
      <c r="F237" s="110">
        <f t="shared" si="6"/>
        <v>193.70089660801767</v>
      </c>
      <c r="G237" s="109">
        <f>'5-2. 30년이상 건축물(시군구별) '!G237</f>
        <v>13986388.241800001</v>
      </c>
      <c r="H237" s="110">
        <f t="shared" si="7"/>
        <v>100.32053653284751</v>
      </c>
    </row>
    <row r="238" spans="2:8" ht="18" customHeight="1">
      <c r="B238" s="66" t="s">
        <v>1063</v>
      </c>
      <c r="C238" s="66" t="s">
        <v>1275</v>
      </c>
      <c r="D238" s="108">
        <v>120551</v>
      </c>
      <c r="E238" s="109">
        <f>'5-2. 30년이상 건축물(시군구별) '!D238</f>
        <v>9396882.1532000005</v>
      </c>
      <c r="F238" s="110">
        <f t="shared" si="6"/>
        <v>67.401264933257778</v>
      </c>
      <c r="G238" s="109">
        <f>'5-2. 30년이상 건축물(시군구별) '!G238</f>
        <v>5200396.8126999997</v>
      </c>
      <c r="H238" s="110">
        <f t="shared" si="7"/>
        <v>37.301023639154479</v>
      </c>
    </row>
    <row r="239" spans="2:8" ht="18" customHeight="1">
      <c r="B239" s="66" t="s">
        <v>1063</v>
      </c>
      <c r="C239" s="66" t="s">
        <v>1276</v>
      </c>
      <c r="D239" s="108">
        <v>109030</v>
      </c>
      <c r="E239" s="109">
        <f>'5-2. 30년이상 건축물(시군구별) '!D239</f>
        <v>10699302.831274999</v>
      </c>
      <c r="F239" s="110">
        <f t="shared" si="6"/>
        <v>76.743172147406696</v>
      </c>
      <c r="G239" s="109">
        <f>'5-2. 30년이상 건축물(시군구별) '!G239</f>
        <v>4611697.0177999996</v>
      </c>
      <c r="H239" s="110">
        <f t="shared" si="7"/>
        <v>33.078441063858783</v>
      </c>
    </row>
    <row r="240" spans="2:8" ht="18" customHeight="1">
      <c r="B240" s="66" t="s">
        <v>1063</v>
      </c>
      <c r="C240" s="66" t="s">
        <v>1277</v>
      </c>
      <c r="D240" s="108">
        <v>533659</v>
      </c>
      <c r="E240" s="109">
        <f>'5-2. 30년이상 건축물(시군구별) '!D240</f>
        <v>44878851.461599998</v>
      </c>
      <c r="F240" s="110">
        <f t="shared" si="6"/>
        <v>321.9037238041272</v>
      </c>
      <c r="G240" s="109">
        <f>'5-2. 30년이상 건축물(시군구별) '!G240</f>
        <v>21194144.149099998</v>
      </c>
      <c r="H240" s="110">
        <f t="shared" si="7"/>
        <v>152.01979779438662</v>
      </c>
    </row>
    <row r="241" spans="2:8" ht="18" customHeight="1">
      <c r="B241" s="66" t="s">
        <v>1063</v>
      </c>
      <c r="C241" s="66" t="s">
        <v>1278</v>
      </c>
      <c r="D241" s="108">
        <v>102084</v>
      </c>
      <c r="E241" s="109">
        <f>'5-2. 30년이상 건축물(시군구별) '!D241</f>
        <v>10853785.388800001</v>
      </c>
      <c r="F241" s="110">
        <f t="shared" si="6"/>
        <v>77.851233269974259</v>
      </c>
      <c r="G241" s="109">
        <f>'5-2. 30년이상 건축물(시군구별) '!G241</f>
        <v>4686041.7740000002</v>
      </c>
      <c r="H241" s="110">
        <f t="shared" si="7"/>
        <v>33.611695661217787</v>
      </c>
    </row>
    <row r="242" spans="2:8" ht="18" customHeight="1">
      <c r="B242" s="66" t="s">
        <v>1063</v>
      </c>
      <c r="C242" s="66" t="s">
        <v>1279</v>
      </c>
      <c r="D242" s="108">
        <v>234038</v>
      </c>
      <c r="E242" s="109">
        <f>'5-2. 30년이상 건축물(시군구별) '!D242</f>
        <v>18633340.387200002</v>
      </c>
      <c r="F242" s="110">
        <f t="shared" si="6"/>
        <v>133.65185298206103</v>
      </c>
      <c r="G242" s="109">
        <f>'5-2. 30년이상 건축물(시군구별) '!G242</f>
        <v>10719022.0449</v>
      </c>
      <c r="H242" s="110">
        <f t="shared" si="7"/>
        <v>76.884612672055781</v>
      </c>
    </row>
    <row r="243" spans="2:8" ht="18" customHeight="1">
      <c r="B243" s="66" t="s">
        <v>1063</v>
      </c>
      <c r="C243" s="66" t="s">
        <v>1280</v>
      </c>
      <c r="D243" s="108">
        <v>355122</v>
      </c>
      <c r="E243" s="109">
        <f>'5-2. 30년이상 건축물(시군구별) '!D243</f>
        <v>29259547.892200001</v>
      </c>
      <c r="F243" s="110">
        <f t="shared" si="6"/>
        <v>209.87073235114801</v>
      </c>
      <c r="G243" s="109">
        <f>'5-2. 30년이상 건축물(시군구별) '!G243</f>
        <v>14327042.217700001</v>
      </c>
      <c r="H243" s="110">
        <f t="shared" si="7"/>
        <v>102.76395430758086</v>
      </c>
    </row>
    <row r="244" spans="2:8" ht="18" customHeight="1">
      <c r="B244" s="66" t="s">
        <v>1063</v>
      </c>
      <c r="C244" s="66" t="s">
        <v>1281</v>
      </c>
      <c r="D244" s="108">
        <v>25475</v>
      </c>
      <c r="E244" s="109">
        <f>'5-2. 30년이상 건축물(시군구별) '!D244</f>
        <v>3277321.4621000001</v>
      </c>
      <c r="F244" s="110">
        <f t="shared" si="6"/>
        <v>23.507330254560063</v>
      </c>
      <c r="G244" s="109">
        <f>'5-2. 30년이상 건축물(시군구별) '!G244</f>
        <v>1215614.1905</v>
      </c>
      <c r="H244" s="110">
        <f t="shared" si="7"/>
        <v>8.7192680268546887</v>
      </c>
    </row>
    <row r="245" spans="2:8" ht="18" customHeight="1">
      <c r="B245" s="66" t="s">
        <v>1063</v>
      </c>
      <c r="C245" s="66" t="s">
        <v>1282</v>
      </c>
      <c r="D245" s="108">
        <v>60203</v>
      </c>
      <c r="E245" s="109">
        <f>'5-2. 30년이상 건축물(시군구별) '!D245</f>
        <v>9025955.9854499996</v>
      </c>
      <c r="F245" s="110">
        <f t="shared" si="6"/>
        <v>64.740713008097998</v>
      </c>
      <c r="G245" s="109">
        <f>'5-2. 30년이상 건축물(시군구별) '!G245</f>
        <v>2645513.4368500002</v>
      </c>
      <c r="H245" s="110">
        <f t="shared" si="7"/>
        <v>18.975544136296147</v>
      </c>
    </row>
    <row r="246" spans="2:8" ht="18" customHeight="1">
      <c r="B246" s="66" t="s">
        <v>1063</v>
      </c>
      <c r="C246" s="66" t="s">
        <v>1283</v>
      </c>
      <c r="D246" s="108">
        <v>57083</v>
      </c>
      <c r="E246" s="109">
        <f>'5-2. 30년이상 건축물(시군구별) '!D246</f>
        <v>7538791.2778000003</v>
      </c>
      <c r="F246" s="110">
        <f t="shared" si="6"/>
        <v>54.073687411147851</v>
      </c>
      <c r="G246" s="109">
        <f>'5-2. 30년이상 건축물(시군구별) '!G246</f>
        <v>2339198.1183000002</v>
      </c>
      <c r="H246" s="110">
        <f t="shared" si="7"/>
        <v>16.778428156537583</v>
      </c>
    </row>
    <row r="247" spans="2:8" ht="18" customHeight="1">
      <c r="B247" s="66" t="s">
        <v>1063</v>
      </c>
      <c r="C247" s="66" t="s">
        <v>1176</v>
      </c>
      <c r="D247" s="108">
        <v>49468</v>
      </c>
      <c r="E247" s="109">
        <f>'5-2. 30년이상 건축물(시군구별) '!D247</f>
        <v>5511359.2407</v>
      </c>
      <c r="F247" s="110">
        <f t="shared" si="6"/>
        <v>39.53147206366512</v>
      </c>
      <c r="G247" s="109">
        <f>'5-2. 30년이상 건축물(시군구별) '!G247</f>
        <v>2134783.8626000001</v>
      </c>
      <c r="H247" s="110">
        <f t="shared" si="7"/>
        <v>15.312220623023018</v>
      </c>
    </row>
    <row r="248" spans="2:8" ht="18" customHeight="1">
      <c r="B248" s="66" t="s">
        <v>1063</v>
      </c>
      <c r="C248" s="66" t="s">
        <v>1284</v>
      </c>
      <c r="D248" s="108">
        <v>40780</v>
      </c>
      <c r="E248" s="109">
        <f>'5-2. 30년이상 건축물(시군구별) '!D248</f>
        <v>4418370.9595999997</v>
      </c>
      <c r="F248" s="110">
        <f t="shared" si="6"/>
        <v>31.691766137558545</v>
      </c>
      <c r="G248" s="109">
        <f>'5-2. 30년이상 건축물(시군구별) '!G248</f>
        <v>2037996.3343</v>
      </c>
      <c r="H248" s="110">
        <f t="shared" si="7"/>
        <v>14.617990161171162</v>
      </c>
    </row>
    <row r="249" spans="2:8" ht="18" customHeight="1">
      <c r="B249" s="66" t="s">
        <v>1063</v>
      </c>
      <c r="C249" s="66" t="s">
        <v>1285</v>
      </c>
      <c r="D249" s="108">
        <v>41606</v>
      </c>
      <c r="E249" s="109">
        <f>'5-2. 30년이상 건축물(시군구별) '!D249</f>
        <v>4652428.2119000005</v>
      </c>
      <c r="F249" s="110">
        <f t="shared" si="6"/>
        <v>33.370594776103346</v>
      </c>
      <c r="G249" s="109">
        <f>'5-2. 30년이상 건축물(시군구별) '!G249</f>
        <v>1849335.3176</v>
      </c>
      <c r="H249" s="110">
        <f t="shared" si="7"/>
        <v>13.26477630131189</v>
      </c>
    </row>
    <row r="250" spans="2:8" ht="18" customHeight="1">
      <c r="B250" s="66" t="s">
        <v>1063</v>
      </c>
      <c r="C250" s="66" t="s">
        <v>1286</v>
      </c>
      <c r="D250" s="108">
        <v>33752</v>
      </c>
      <c r="E250" s="109">
        <f>'5-2. 30년이상 건축물(시군구별) '!D250</f>
        <v>3694362.0265000002</v>
      </c>
      <c r="F250" s="110">
        <f t="shared" si="6"/>
        <v>26.49864813114613</v>
      </c>
      <c r="G250" s="109">
        <f>'5-2. 30년이상 건축물(시군구별) '!G250</f>
        <v>1505090.2334</v>
      </c>
      <c r="H250" s="110">
        <f t="shared" si="7"/>
        <v>10.795600489179943</v>
      </c>
    </row>
    <row r="251" spans="2:8" ht="18" customHeight="1">
      <c r="B251" s="66" t="s">
        <v>1063</v>
      </c>
      <c r="C251" s="66" t="s">
        <v>1287</v>
      </c>
      <c r="D251" s="108">
        <v>36945</v>
      </c>
      <c r="E251" s="109">
        <f>'5-2. 30년이상 건축물(시군구별) '!D251</f>
        <v>3850365.4328000001</v>
      </c>
      <c r="F251" s="110">
        <f t="shared" si="6"/>
        <v>27.617617885910615</v>
      </c>
      <c r="G251" s="109">
        <f>'5-2. 30년이상 건축물(시군구별) '!G251</f>
        <v>1681752.2593</v>
      </c>
      <c r="H251" s="110">
        <f t="shared" si="7"/>
        <v>12.062748870654225</v>
      </c>
    </row>
    <row r="252" spans="2:8" ht="18" customHeight="1">
      <c r="B252" s="66" t="s">
        <v>1063</v>
      </c>
      <c r="C252" s="66" t="s">
        <v>1288</v>
      </c>
      <c r="D252" s="108">
        <v>60047</v>
      </c>
      <c r="E252" s="109">
        <f>'5-2. 30년이상 건축물(시군구별) '!D252</f>
        <v>6210868.1917000003</v>
      </c>
      <c r="F252" s="110">
        <f t="shared" si="6"/>
        <v>44.548858401055824</v>
      </c>
      <c r="G252" s="109">
        <f>'5-2. 30년이상 건축물(시군구별) '!G252</f>
        <v>2836550.2590000001</v>
      </c>
      <c r="H252" s="110">
        <f t="shared" si="7"/>
        <v>20.345798998687393</v>
      </c>
    </row>
    <row r="253" spans="2:8" ht="18" customHeight="1">
      <c r="B253" s="66" t="s">
        <v>1063</v>
      </c>
      <c r="C253" s="66" t="s">
        <v>1289</v>
      </c>
      <c r="D253" s="108">
        <v>41203</v>
      </c>
      <c r="E253" s="109">
        <f>'5-2. 30년이상 건축물(시군구별) '!D253</f>
        <v>5229737.0959000001</v>
      </c>
      <c r="F253" s="110">
        <f t="shared" si="6"/>
        <v>37.511473463781321</v>
      </c>
      <c r="G253" s="109">
        <f>'5-2. 30년이상 건축물(시군구별) '!G253</f>
        <v>1929454.5708999999</v>
      </c>
      <c r="H253" s="110">
        <f t="shared" si="7"/>
        <v>13.839449786611388</v>
      </c>
    </row>
    <row r="254" spans="2:8" ht="18" customHeight="1">
      <c r="B254" s="66" t="s">
        <v>1064</v>
      </c>
      <c r="C254" s="66" t="s">
        <v>1290</v>
      </c>
      <c r="D254" s="108">
        <v>491654</v>
      </c>
      <c r="E254" s="109">
        <f>'5-2. 30년이상 건축물(시군구별) '!D254</f>
        <v>39023237.596960001</v>
      </c>
      <c r="F254" s="110">
        <f t="shared" si="6"/>
        <v>279.90300750238492</v>
      </c>
      <c r="G254" s="109">
        <f>'5-2. 30년이상 건축물(시군구별) '!G254</f>
        <v>17953718.27036</v>
      </c>
      <c r="H254" s="110">
        <f t="shared" si="7"/>
        <v>128.77710946556016</v>
      </c>
    </row>
    <row r="255" spans="2:8" ht="18" customHeight="1">
      <c r="B255" s="66" t="s">
        <v>1064</v>
      </c>
      <c r="C255" s="66" t="s">
        <v>1291</v>
      </c>
      <c r="D255" s="108">
        <v>183598</v>
      </c>
      <c r="E255" s="109">
        <f>'5-2. 30년이상 건축물(시군구별) '!D255</f>
        <v>20391188.272300001</v>
      </c>
      <c r="F255" s="110">
        <f t="shared" si="6"/>
        <v>146.26041495872096</v>
      </c>
      <c r="G255" s="109">
        <f>'5-2. 30년이상 건축물(시군구별) '!G255</f>
        <v>7470531.6073000003</v>
      </c>
      <c r="H255" s="110">
        <f t="shared" si="7"/>
        <v>53.584079468787884</v>
      </c>
    </row>
  </sheetData>
  <mergeCells count="5">
    <mergeCell ref="B4:B5"/>
    <mergeCell ref="C4:C5"/>
    <mergeCell ref="D4:D5"/>
    <mergeCell ref="E4:F4"/>
    <mergeCell ref="G4:H4"/>
  </mergeCells>
  <phoneticPr fontId="20" type="noConversion"/>
  <pageMargins left="0.7" right="0.7" top="0.75" bottom="0.75" header="0.3" footer="0.3"/>
  <pageSetup paperSize="9" scale="80" fitToHeight="0" orientation="landscape" r:id="rId1"/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25"/>
  <sheetViews>
    <sheetView zoomScaleNormal="100" workbookViewId="0">
      <selection activeCell="B1" sqref="B1"/>
    </sheetView>
  </sheetViews>
  <sheetFormatPr defaultColWidth="14.625" defaultRowHeight="18" customHeight="1"/>
  <cols>
    <col min="1" max="1" width="2.5" style="29" customWidth="1"/>
    <col min="2" max="2" width="16.625" style="29" customWidth="1"/>
    <col min="3" max="3" width="18.625" style="29" customWidth="1"/>
    <col min="4" max="4" width="15.625" style="29" customWidth="1"/>
    <col min="5" max="5" width="8.625" style="29" customWidth="1"/>
    <col min="6" max="6" width="15.625" style="29" customWidth="1"/>
    <col min="7" max="7" width="8.625" style="29" customWidth="1"/>
    <col min="8" max="8" width="15.625" style="29" customWidth="1"/>
    <col min="9" max="9" width="8.625" style="29" customWidth="1"/>
    <col min="10" max="10" width="15.625" style="29" customWidth="1"/>
    <col min="11" max="11" width="8.625" style="29" customWidth="1"/>
    <col min="12" max="12" width="15.625" style="29" customWidth="1"/>
    <col min="13" max="13" width="8.625" style="29" customWidth="1"/>
    <col min="14" max="14" width="15.625" style="29" customWidth="1"/>
    <col min="15" max="15" width="8.625" style="29" customWidth="1"/>
    <col min="16" max="16384" width="14.625" style="29"/>
  </cols>
  <sheetData>
    <row r="1" spans="1:17" s="20" customFormat="1" ht="30" customHeight="1">
      <c r="A1" s="25" t="str">
        <f>목차!B12</f>
        <v>9. 2023년 국토면적 대비 건축물 현황</v>
      </c>
    </row>
    <row r="2" spans="1:17" s="20" customFormat="1" ht="18" customHeight="1">
      <c r="A2" s="26" t="s">
        <v>1453</v>
      </c>
    </row>
    <row r="3" spans="1:17" s="20" customFormat="1" ht="18" customHeight="1">
      <c r="O3" s="33" t="s">
        <v>881</v>
      </c>
    </row>
    <row r="4" spans="1:17" s="20" customFormat="1" ht="18" customHeight="1">
      <c r="B4" s="127" t="s">
        <v>895</v>
      </c>
      <c r="C4" s="127" t="s">
        <v>855</v>
      </c>
      <c r="D4" s="127" t="s">
        <v>0</v>
      </c>
      <c r="E4" s="127"/>
      <c r="F4" s="127" t="s">
        <v>897</v>
      </c>
      <c r="G4" s="127"/>
      <c r="H4" s="127" t="s">
        <v>898</v>
      </c>
      <c r="I4" s="127"/>
      <c r="J4" s="127" t="s">
        <v>899</v>
      </c>
      <c r="K4" s="127"/>
      <c r="L4" s="127" t="s">
        <v>1546</v>
      </c>
      <c r="M4" s="127"/>
      <c r="N4" s="127" t="s">
        <v>900</v>
      </c>
      <c r="O4" s="127"/>
    </row>
    <row r="5" spans="1:17" s="20" customFormat="1" ht="18" customHeight="1">
      <c r="B5" s="127"/>
      <c r="C5" s="127"/>
      <c r="D5" s="107" t="s">
        <v>901</v>
      </c>
      <c r="E5" s="107" t="s">
        <v>904</v>
      </c>
      <c r="F5" s="107" t="s">
        <v>901</v>
      </c>
      <c r="G5" s="107" t="s">
        <v>904</v>
      </c>
      <c r="H5" s="107" t="s">
        <v>901</v>
      </c>
      <c r="I5" s="107" t="s">
        <v>904</v>
      </c>
      <c r="J5" s="107" t="s">
        <v>901</v>
      </c>
      <c r="K5" s="107" t="s">
        <v>904</v>
      </c>
      <c r="L5" s="107" t="s">
        <v>901</v>
      </c>
      <c r="M5" s="107" t="s">
        <v>904</v>
      </c>
      <c r="N5" s="107" t="s">
        <v>901</v>
      </c>
      <c r="O5" s="107" t="s">
        <v>904</v>
      </c>
    </row>
    <row r="6" spans="1:17" s="20" customFormat="1" ht="18" customHeight="1">
      <c r="B6" s="27" t="s">
        <v>905</v>
      </c>
      <c r="C6" s="55">
        <v>100443553474.5</v>
      </c>
      <c r="D6" s="17">
        <f>'1. 용도별'!D5</f>
        <v>4227660684.3220005</v>
      </c>
      <c r="E6" s="51">
        <f>D6/$C6*100</f>
        <v>4.2089915560338014</v>
      </c>
      <c r="F6" s="31">
        <f>'1. 용도별'!F5</f>
        <v>1950556270.983</v>
      </c>
      <c r="G6" s="51">
        <f>F6/$C6*100</f>
        <v>1.9419427165907621</v>
      </c>
      <c r="H6" s="31">
        <f>'1. 용도별'!H5</f>
        <v>934688689.26999998</v>
      </c>
      <c r="I6" s="51">
        <f>H6/$C6*100</f>
        <v>0.93056115294377051</v>
      </c>
      <c r="J6" s="31">
        <f>'1. 용도별'!J5</f>
        <v>465148021.79500002</v>
      </c>
      <c r="K6" s="51">
        <f>J6/$C6*100</f>
        <v>0.46309395247858187</v>
      </c>
      <c r="L6" s="31">
        <f>'1. 용도별'!L5</f>
        <v>376645408.43199998</v>
      </c>
      <c r="M6" s="51">
        <f>L6/$C6*100</f>
        <v>0.37498216202358914</v>
      </c>
      <c r="N6" s="31">
        <f>'1. 용도별'!N5</f>
        <v>500622293.84200001</v>
      </c>
      <c r="O6" s="51">
        <f>N6/$C6*100</f>
        <v>0.49841157199709679</v>
      </c>
    </row>
    <row r="7" spans="1:17" s="20" customFormat="1" ht="18" customHeight="1">
      <c r="B7" s="28" t="s">
        <v>1</v>
      </c>
      <c r="C7" s="55">
        <v>605208148.60000002</v>
      </c>
      <c r="D7" s="17">
        <f>'1. 용도별'!D6</f>
        <v>594223316.7076</v>
      </c>
      <c r="E7" s="51">
        <f t="shared" ref="E7:G23" si="0">D7/$C7*100</f>
        <v>98.18494977012277</v>
      </c>
      <c r="F7" s="31">
        <f>'1. 용도별'!F6</f>
        <v>308478091.63779998</v>
      </c>
      <c r="G7" s="51">
        <f t="shared" si="0"/>
        <v>50.970578031936299</v>
      </c>
      <c r="H7" s="31">
        <f>'1. 용도별'!H6</f>
        <v>186782639.33590001</v>
      </c>
      <c r="I7" s="51">
        <f t="shared" ref="I7" si="1">H7/$C7*100</f>
        <v>30.862545352037252</v>
      </c>
      <c r="J7" s="31">
        <f>'1. 용도별'!J6</f>
        <v>14552066.776699999</v>
      </c>
      <c r="K7" s="51">
        <f t="shared" ref="K7" si="2">J7/$C7*100</f>
        <v>2.4044730412772237</v>
      </c>
      <c r="L7" s="31">
        <f>'1. 용도별'!L6</f>
        <v>63430315.032499999</v>
      </c>
      <c r="M7" s="51">
        <f t="shared" ref="M7" si="3">L7/$C7*100</f>
        <v>10.480743720855445</v>
      </c>
      <c r="N7" s="31">
        <f>'1. 용도별'!N6</f>
        <v>20980203.924699999</v>
      </c>
      <c r="O7" s="51">
        <f t="shared" ref="O7" si="4">N7/$C7*100</f>
        <v>3.4666096240165527</v>
      </c>
      <c r="Q7" s="40"/>
    </row>
    <row r="8" spans="1:17" s="20" customFormat="1" ht="18" customHeight="1">
      <c r="B8" s="28" t="s">
        <v>2</v>
      </c>
      <c r="C8" s="55">
        <v>771325955.39999998</v>
      </c>
      <c r="D8" s="17">
        <f>'1. 용도별'!D7</f>
        <v>255841080.20170999</v>
      </c>
      <c r="E8" s="51">
        <f t="shared" si="0"/>
        <v>33.168996636322703</v>
      </c>
      <c r="F8" s="31">
        <f>'1. 용도별'!F7</f>
        <v>124624082.49153</v>
      </c>
      <c r="G8" s="51">
        <f t="shared" si="0"/>
        <v>16.157122889362839</v>
      </c>
      <c r="H8" s="31">
        <f>'1. 용도별'!H7</f>
        <v>64595346.499980003</v>
      </c>
      <c r="I8" s="51">
        <f t="shared" ref="I8" si="5">H8/$C8*100</f>
        <v>8.3745848363785012</v>
      </c>
      <c r="J8" s="31">
        <f>'1. 용도별'!J7</f>
        <v>19867250.295200001</v>
      </c>
      <c r="K8" s="51">
        <f t="shared" ref="K8" si="6">J8/$C8*100</f>
        <v>2.5757269227245301</v>
      </c>
      <c r="L8" s="31">
        <f>'1. 용도별'!L7</f>
        <v>23981385.440099999</v>
      </c>
      <c r="M8" s="51">
        <f t="shared" ref="M8" si="7">L8/$C8*100</f>
        <v>3.1091116890606325</v>
      </c>
      <c r="N8" s="31">
        <f>'1. 용도별'!N7</f>
        <v>22773015.4749</v>
      </c>
      <c r="O8" s="51">
        <f t="shared" ref="O8" si="8">N8/$C8*100</f>
        <v>2.9524502987962076</v>
      </c>
    </row>
    <row r="9" spans="1:17" s="20" customFormat="1" ht="18" customHeight="1">
      <c r="B9" s="28" t="s">
        <v>3</v>
      </c>
      <c r="C9" s="55">
        <v>885222208.10000002</v>
      </c>
      <c r="D9" s="17">
        <f>'1. 용도별'!D8</f>
        <v>181440260.67039999</v>
      </c>
      <c r="E9" s="51">
        <f t="shared" si="0"/>
        <v>20.496578035455638</v>
      </c>
      <c r="F9" s="31">
        <f>'1. 용도별'!F8</f>
        <v>95283308.701100007</v>
      </c>
      <c r="G9" s="51">
        <f t="shared" si="0"/>
        <v>10.76377296335704</v>
      </c>
      <c r="H9" s="31">
        <f>'1. 용도별'!H8</f>
        <v>45453595.508599997</v>
      </c>
      <c r="I9" s="51">
        <f t="shared" ref="I9" si="9">H9/$C9*100</f>
        <v>5.134710256101628</v>
      </c>
      <c r="J9" s="31">
        <f>'1. 용도별'!J8</f>
        <v>16290192.487199999</v>
      </c>
      <c r="K9" s="51">
        <f t="shared" ref="K9" si="10">J9/$C9*100</f>
        <v>1.8402376644124772</v>
      </c>
      <c r="L9" s="31">
        <f>'1. 용도별'!L8</f>
        <v>16051156.160599999</v>
      </c>
      <c r="M9" s="51">
        <f t="shared" ref="M9" si="11">L9/$C9*100</f>
        <v>1.813234689971398</v>
      </c>
      <c r="N9" s="31">
        <f>'1. 용도별'!N8</f>
        <v>8362007.8129000003</v>
      </c>
      <c r="O9" s="51">
        <f t="shared" ref="O9" si="12">N9/$C9*100</f>
        <v>0.94462246161309338</v>
      </c>
    </row>
    <row r="10" spans="1:17" s="20" customFormat="1" ht="18" customHeight="1">
      <c r="B10" s="28" t="s">
        <v>4</v>
      </c>
      <c r="C10" s="55">
        <v>1067044880.7</v>
      </c>
      <c r="D10" s="17">
        <f>'1. 용도별'!D9</f>
        <v>223037992.89855</v>
      </c>
      <c r="E10" s="51">
        <f t="shared" si="0"/>
        <v>20.90240035191708</v>
      </c>
      <c r="F10" s="31">
        <f>'1. 용도별'!F9</f>
        <v>107415459.67935</v>
      </c>
      <c r="G10" s="51">
        <f t="shared" si="0"/>
        <v>10.066629963013701</v>
      </c>
      <c r="H10" s="31">
        <f>'1. 용도별'!H9</f>
        <v>55915629.386600003</v>
      </c>
      <c r="I10" s="51">
        <f t="shared" ref="I10" si="13">H10/$C10*100</f>
        <v>5.2402321962238716</v>
      </c>
      <c r="J10" s="31">
        <f>'1. 용도별'!J9</f>
        <v>25115385.690900002</v>
      </c>
      <c r="K10" s="51">
        <f t="shared" ref="K10" si="14">J10/$C10*100</f>
        <v>2.3537328321582751</v>
      </c>
      <c r="L10" s="31">
        <f>'1. 용도별'!L9</f>
        <v>18087501.637499999</v>
      </c>
      <c r="M10" s="51">
        <f t="shared" ref="M10" si="15">L10/$C10*100</f>
        <v>1.6951022365276971</v>
      </c>
      <c r="N10" s="31">
        <f>'1. 용도별'!N9</f>
        <v>16504016.5042</v>
      </c>
      <c r="O10" s="51">
        <f t="shared" ref="O10" si="16">N10/$C10*100</f>
        <v>1.546703123993536</v>
      </c>
    </row>
    <row r="11" spans="1:17" s="20" customFormat="1" ht="18" customHeight="1">
      <c r="B11" s="28" t="s">
        <v>5</v>
      </c>
      <c r="C11" s="55">
        <v>501024298.60000002</v>
      </c>
      <c r="D11" s="17">
        <f>'1. 용도별'!D10</f>
        <v>110111574.49070001</v>
      </c>
      <c r="E11" s="51">
        <f t="shared" si="0"/>
        <v>21.977292278714245</v>
      </c>
      <c r="F11" s="31">
        <f>'1. 용도별'!F10</f>
        <v>59857077.917499997</v>
      </c>
      <c r="G11" s="51">
        <f t="shared" si="0"/>
        <v>11.946941113386551</v>
      </c>
      <c r="H11" s="31">
        <f>'1. 용도별'!H10</f>
        <v>24411787.727000002</v>
      </c>
      <c r="I11" s="51">
        <f t="shared" ref="I11" si="17">H11/$C11*100</f>
        <v>4.8723760095494901</v>
      </c>
      <c r="J11" s="31">
        <f>'1. 용도별'!J10</f>
        <v>8781783.8344000001</v>
      </c>
      <c r="K11" s="51">
        <f t="shared" ref="K11" si="18">J11/$C11*100</f>
        <v>1.7527660552469662</v>
      </c>
      <c r="L11" s="31">
        <f>'1. 용도별'!L10</f>
        <v>12869131.6611</v>
      </c>
      <c r="M11" s="51">
        <f t="shared" ref="M11" si="19">L11/$C11*100</f>
        <v>2.5685643784263359</v>
      </c>
      <c r="N11" s="31">
        <f>'1. 용도별'!N10</f>
        <v>4191793.3506999998</v>
      </c>
      <c r="O11" s="51">
        <f t="shared" ref="O11" si="20">N11/$C11*100</f>
        <v>0.83664472210490093</v>
      </c>
    </row>
    <row r="12" spans="1:17" s="20" customFormat="1" ht="18" customHeight="1">
      <c r="B12" s="28" t="s">
        <v>6</v>
      </c>
      <c r="C12" s="55">
        <v>539668542.29999995</v>
      </c>
      <c r="D12" s="17">
        <f>'1. 용도별'!D11</f>
        <v>116351917.30185001</v>
      </c>
      <c r="E12" s="51">
        <f t="shared" si="0"/>
        <v>21.55988503720685</v>
      </c>
      <c r="F12" s="31">
        <f>'1. 용도별'!F11</f>
        <v>57280772.308499999</v>
      </c>
      <c r="G12" s="51">
        <f t="shared" si="0"/>
        <v>10.614065452912357</v>
      </c>
      <c r="H12" s="31">
        <f>'1. 용도별'!H11</f>
        <v>25161964.497900002</v>
      </c>
      <c r="I12" s="51">
        <f t="shared" ref="I12" si="21">H12/$C12*100</f>
        <v>4.6624849376365072</v>
      </c>
      <c r="J12" s="31">
        <f>'1. 용도별'!J11</f>
        <v>5662874.7257000003</v>
      </c>
      <c r="K12" s="51">
        <f t="shared" ref="K12" si="22">J12/$C12*100</f>
        <v>1.0493245912695848</v>
      </c>
      <c r="L12" s="31">
        <f>'1. 용도별'!L11</f>
        <v>15094653.012049999</v>
      </c>
      <c r="M12" s="51">
        <f t="shared" ref="M12" si="23">L12/$C12*100</f>
        <v>2.7970229555568449</v>
      </c>
      <c r="N12" s="31">
        <f>'1. 용도별'!N11</f>
        <v>13151652.7577</v>
      </c>
      <c r="O12" s="51">
        <f t="shared" ref="O12" si="24">N12/$C12*100</f>
        <v>2.4369870998315553</v>
      </c>
    </row>
    <row r="13" spans="1:17" s="20" customFormat="1" ht="18" customHeight="1">
      <c r="B13" s="28" t="s">
        <v>7</v>
      </c>
      <c r="C13" s="55">
        <v>1062833506.3</v>
      </c>
      <c r="D13" s="17">
        <f>'1. 용도별'!D12</f>
        <v>94810829.082050011</v>
      </c>
      <c r="E13" s="51">
        <f t="shared" si="0"/>
        <v>8.9205720858491926</v>
      </c>
      <c r="F13" s="31">
        <f>'1. 용도별'!F12</f>
        <v>44358547.931199998</v>
      </c>
      <c r="G13" s="51">
        <f t="shared" si="0"/>
        <v>4.17361211029408</v>
      </c>
      <c r="H13" s="31">
        <f>'1. 용도별'!H12</f>
        <v>18547142.784000002</v>
      </c>
      <c r="I13" s="51">
        <f t="shared" ref="I13" si="25">H13/$C13*100</f>
        <v>1.7450656828243432</v>
      </c>
      <c r="J13" s="31">
        <f>'1. 용도별'!J12</f>
        <v>18653919.989399999</v>
      </c>
      <c r="K13" s="51">
        <f t="shared" ref="K13" si="26">J13/$C13*100</f>
        <v>1.7551121486881938</v>
      </c>
      <c r="L13" s="31">
        <f>'1. 용도별'!L12</f>
        <v>7335576.7494000001</v>
      </c>
      <c r="M13" s="51">
        <f t="shared" ref="M13" si="27">L13/$C13*100</f>
        <v>0.69019058073705752</v>
      </c>
      <c r="N13" s="31">
        <f>'1. 용도별'!N12</f>
        <v>5915641.6280500004</v>
      </c>
      <c r="O13" s="51">
        <f t="shared" ref="O13" si="28">N13/$C13*100</f>
        <v>0.55659156330551607</v>
      </c>
    </row>
    <row r="14" spans="1:17" s="20" customFormat="1" ht="18" customHeight="1">
      <c r="B14" s="28" t="s">
        <v>852</v>
      </c>
      <c r="C14" s="55">
        <v>464918218.19999999</v>
      </c>
      <c r="D14" s="17">
        <f>'1. 용도별'!D13</f>
        <v>31939699.539299998</v>
      </c>
      <c r="E14" s="51">
        <f t="shared" si="0"/>
        <v>6.8699608423518645</v>
      </c>
      <c r="F14" s="31">
        <f>'1. 용도별'!F13</f>
        <v>16035867.659299999</v>
      </c>
      <c r="G14" s="51">
        <f t="shared" si="0"/>
        <v>3.4491803142034843</v>
      </c>
      <c r="H14" s="31">
        <f>'1. 용도별'!H13</f>
        <v>5875166.5996000003</v>
      </c>
      <c r="I14" s="51">
        <f t="shared" ref="I14" si="29">H14/$C14*100</f>
        <v>1.2636989409334358</v>
      </c>
      <c r="J14" s="31">
        <f>'1. 용도별'!J13</f>
        <v>2982271.5109000001</v>
      </c>
      <c r="K14" s="51">
        <f t="shared" ref="K14" si="30">J14/$C14*100</f>
        <v>0.64146152896445052</v>
      </c>
      <c r="L14" s="31">
        <f>'1. 용도별'!L13</f>
        <v>3300221.2881999998</v>
      </c>
      <c r="M14" s="51">
        <f t="shared" ref="M14" si="31">L14/$C14*100</f>
        <v>0.70984985294344827</v>
      </c>
      <c r="N14" s="31">
        <f>'1. 용도별'!N13</f>
        <v>3746172.4813000001</v>
      </c>
      <c r="O14" s="51">
        <f t="shared" ref="O14" si="32">N14/$C14*100</f>
        <v>0.80577020530704591</v>
      </c>
    </row>
    <row r="15" spans="1:17" s="20" customFormat="1" ht="18" customHeight="1">
      <c r="B15" s="28" t="s">
        <v>8</v>
      </c>
      <c r="C15" s="55">
        <v>10199543631.299999</v>
      </c>
      <c r="D15" s="17">
        <f>'1. 용도별'!D14</f>
        <v>1108557371.9829042</v>
      </c>
      <c r="E15" s="51">
        <f t="shared" si="0"/>
        <v>10.86869581675206</v>
      </c>
      <c r="F15" s="31">
        <f>'1. 용도별'!F14</f>
        <v>502659091.66213399</v>
      </c>
      <c r="G15" s="51">
        <f t="shared" si="0"/>
        <v>4.9282508103557845</v>
      </c>
      <c r="H15" s="31">
        <f>'1. 용도별'!H14</f>
        <v>228778384.68091509</v>
      </c>
      <c r="I15" s="51">
        <f t="shared" ref="I15" si="33">H15/$C15*100</f>
        <v>2.2430256975307019</v>
      </c>
      <c r="J15" s="31">
        <f>'1. 용도별'!J14</f>
        <v>135919842.8127</v>
      </c>
      <c r="K15" s="51">
        <f t="shared" ref="K15" si="34">J15/$C15*100</f>
        <v>1.3326071021020391</v>
      </c>
      <c r="L15" s="31">
        <f>'1. 용도별'!L14</f>
        <v>84771583.493025005</v>
      </c>
      <c r="M15" s="51">
        <f t="shared" ref="M15" si="35">L15/$C15*100</f>
        <v>0.8311311423079849</v>
      </c>
      <c r="N15" s="31">
        <f>'1. 용도별'!N14</f>
        <v>156428469.33412999</v>
      </c>
      <c r="O15" s="51">
        <f t="shared" ref="O15" si="36">N15/$C15*100</f>
        <v>1.533681064455549</v>
      </c>
    </row>
    <row r="16" spans="1:17" s="20" customFormat="1" ht="18" customHeight="1">
      <c r="B16" s="28" t="s">
        <v>1456</v>
      </c>
      <c r="C16" s="55">
        <v>16830139322.5</v>
      </c>
      <c r="D16" s="17">
        <f>'1. 용도별'!D15</f>
        <v>145835370.968963</v>
      </c>
      <c r="E16" s="51">
        <f t="shared" si="0"/>
        <v>0.86651315342349855</v>
      </c>
      <c r="F16" s="31">
        <f>'1. 용도별'!F15</f>
        <v>64847505.977762997</v>
      </c>
      <c r="G16" s="51">
        <f t="shared" si="0"/>
        <v>0.38530581794453234</v>
      </c>
      <c r="H16" s="31">
        <f>'1. 용도별'!H15</f>
        <v>33239229.215050001</v>
      </c>
      <c r="I16" s="51">
        <f t="shared" ref="I16" si="37">H16/$C16*100</f>
        <v>0.19749824156602727</v>
      </c>
      <c r="J16" s="31">
        <f>'1. 용도별'!J15</f>
        <v>7464148.8366999999</v>
      </c>
      <c r="K16" s="51">
        <f t="shared" ref="K16" si="38">J16/$C16*100</f>
        <v>4.4349893329292137E-2</v>
      </c>
      <c r="L16" s="31">
        <f>'1. 용도별'!L15</f>
        <v>17151380.07375</v>
      </c>
      <c r="M16" s="51">
        <f t="shared" ref="M16" si="39">L16/$C16*100</f>
        <v>0.10190872306577128</v>
      </c>
      <c r="N16" s="31">
        <f>'1. 용도별'!N15</f>
        <v>23133106.865699999</v>
      </c>
      <c r="O16" s="51">
        <f t="shared" ref="O16" si="40">N16/$C16*100</f>
        <v>0.13745047751787556</v>
      </c>
    </row>
    <row r="17" spans="2:21" s="20" customFormat="1" ht="18" customHeight="1">
      <c r="B17" s="28" t="s">
        <v>9</v>
      </c>
      <c r="C17" s="55">
        <v>7407399438.5</v>
      </c>
      <c r="D17" s="17">
        <f>'1. 용도별'!D16</f>
        <v>162002149.47755003</v>
      </c>
      <c r="E17" s="51">
        <f t="shared" si="0"/>
        <v>2.1870313707607414</v>
      </c>
      <c r="F17" s="31">
        <f>'1. 용도별'!F16</f>
        <v>68352952.735799998</v>
      </c>
      <c r="G17" s="51">
        <f t="shared" si="0"/>
        <v>0.92276585464711336</v>
      </c>
      <c r="H17" s="31">
        <f>'1. 용도별'!H16</f>
        <v>27674039.056600001</v>
      </c>
      <c r="I17" s="51">
        <f t="shared" ref="I17" si="41">H17/$C17*100</f>
        <v>0.37359992918383783</v>
      </c>
      <c r="J17" s="31">
        <f>'1. 용도별'!J16</f>
        <v>29701760.717300002</v>
      </c>
      <c r="K17" s="51">
        <f t="shared" ref="K17" si="42">J17/$C17*100</f>
        <v>0.40097420105259796</v>
      </c>
      <c r="L17" s="31">
        <f>'1. 용도별'!L16</f>
        <v>13844344.3846</v>
      </c>
      <c r="M17" s="51">
        <f t="shared" ref="M17" si="43">L17/$C17*100</f>
        <v>0.18689885025835037</v>
      </c>
      <c r="N17" s="31">
        <f>'1. 용도별'!N16</f>
        <v>22429052.583250001</v>
      </c>
      <c r="O17" s="51">
        <f t="shared" ref="O17" si="44">N17/$C17*100</f>
        <v>0.30279253561884178</v>
      </c>
    </row>
    <row r="18" spans="2:21" s="20" customFormat="1" ht="18" customHeight="1">
      <c r="B18" s="28" t="s">
        <v>10</v>
      </c>
      <c r="C18" s="55">
        <v>8247212472</v>
      </c>
      <c r="D18" s="17">
        <f>'1. 용도별'!D17</f>
        <v>230607710.36564997</v>
      </c>
      <c r="E18" s="51">
        <f t="shared" si="0"/>
        <v>2.7961897568249041</v>
      </c>
      <c r="F18" s="31">
        <f>'1. 용도별'!F17</f>
        <v>89275780.922399998</v>
      </c>
      <c r="G18" s="51">
        <f t="shared" si="0"/>
        <v>1.0824964341042382</v>
      </c>
      <c r="H18" s="31">
        <f>'1. 용도별'!H17</f>
        <v>37901877.478050001</v>
      </c>
      <c r="I18" s="51">
        <f t="shared" ref="I18" si="45">H18/$C18*100</f>
        <v>0.45957197788622706</v>
      </c>
      <c r="J18" s="31">
        <f>'1. 용도별'!J17</f>
        <v>44934545.520999998</v>
      </c>
      <c r="K18" s="51">
        <f t="shared" ref="K18" si="46">J18/$C18*100</f>
        <v>0.54484525133257655</v>
      </c>
      <c r="L18" s="31">
        <f>'1. 용도별'!L17</f>
        <v>18271738.543400001</v>
      </c>
      <c r="M18" s="51">
        <f t="shared" ref="M18" si="47">L18/$C18*100</f>
        <v>0.22155047666631766</v>
      </c>
      <c r="N18" s="31">
        <f>'1. 용도별'!N17</f>
        <v>40223767.900799997</v>
      </c>
      <c r="O18" s="51">
        <f t="shared" ref="O18" si="48">N18/$C18*100</f>
        <v>0.487725616835545</v>
      </c>
    </row>
    <row r="19" spans="2:21" s="20" customFormat="1" ht="18" customHeight="1">
      <c r="B19" s="16" t="s">
        <v>1549</v>
      </c>
      <c r="C19" s="55">
        <v>8073175644.5</v>
      </c>
      <c r="D19" s="17">
        <f>'1. 용도별'!D18</f>
        <v>172607854.92954999</v>
      </c>
      <c r="E19" s="51">
        <f t="shared" si="0"/>
        <v>2.1380416149764101</v>
      </c>
      <c r="F19" s="31">
        <f>'1. 용도별'!F18</f>
        <v>71018326.511999995</v>
      </c>
      <c r="G19" s="51">
        <f t="shared" si="0"/>
        <v>0.87968266317087429</v>
      </c>
      <c r="H19" s="31">
        <f>'1. 용도별'!H18</f>
        <v>31067179.42735</v>
      </c>
      <c r="I19" s="51">
        <f t="shared" ref="I19" si="49">H19/$C19*100</f>
        <v>0.38481981311177205</v>
      </c>
      <c r="J19" s="31">
        <f>'1. 용도별'!J18</f>
        <v>18741924.115800001</v>
      </c>
      <c r="K19" s="51">
        <f t="shared" ref="K19" si="50">J19/$C19*100</f>
        <v>0.23215058040472938</v>
      </c>
      <c r="L19" s="31">
        <f>'1. 용도별'!L18</f>
        <v>16740873.4</v>
      </c>
      <c r="M19" s="51">
        <f t="shared" ref="M19" si="51">L19/$C19*100</f>
        <v>0.20736416668210395</v>
      </c>
      <c r="N19" s="31">
        <f>'1. 용도별'!N18</f>
        <v>35039551.474399999</v>
      </c>
      <c r="O19" s="51">
        <f t="shared" ref="O19" si="52">N19/$C19*100</f>
        <v>0.43402439160693024</v>
      </c>
    </row>
    <row r="20" spans="2:21" s="20" customFormat="1" ht="18" customHeight="1">
      <c r="B20" s="28" t="s">
        <v>11</v>
      </c>
      <c r="C20" s="55">
        <v>12360515199.1</v>
      </c>
      <c r="D20" s="17">
        <f>'1. 용도별'!D19</f>
        <v>185386551.96561998</v>
      </c>
      <c r="E20" s="51">
        <f t="shared" si="0"/>
        <v>1.4998286801113148</v>
      </c>
      <c r="F20" s="31">
        <f>'1. 용도별'!F19</f>
        <v>74256538.747419998</v>
      </c>
      <c r="G20" s="51">
        <f t="shared" si="0"/>
        <v>0.60075601664910205</v>
      </c>
      <c r="H20" s="31">
        <f>'1. 용도별'!H19</f>
        <v>33028267.565200001</v>
      </c>
      <c r="I20" s="51">
        <f t="shared" ref="I20" si="53">H20/$C20*100</f>
        <v>0.26720785528102314</v>
      </c>
      <c r="J20" s="31">
        <f>'1. 용도별'!J19</f>
        <v>20883290.072500002</v>
      </c>
      <c r="K20" s="51">
        <f t="shared" ref="K20" si="54">J20/$C20*100</f>
        <v>0.1689516151723236</v>
      </c>
      <c r="L20" s="31">
        <f>'1. 용도별'!L19</f>
        <v>16165654.629799999</v>
      </c>
      <c r="M20" s="51">
        <f t="shared" ref="M20" si="55">L20/$C20*100</f>
        <v>0.13078463453511274</v>
      </c>
      <c r="N20" s="31">
        <f>'1. 용도별'!N19</f>
        <v>41052800.9507</v>
      </c>
      <c r="O20" s="51">
        <f t="shared" ref="O20" si="56">N20/$C20*100</f>
        <v>0.33212855847375322</v>
      </c>
    </row>
    <row r="21" spans="2:21" s="20" customFormat="1" ht="18" customHeight="1">
      <c r="B21" s="28" t="s">
        <v>12</v>
      </c>
      <c r="C21" s="55">
        <v>19036366822.900002</v>
      </c>
      <c r="D21" s="17">
        <f>'1. 용도별'!D20</f>
        <v>268538300.45090002</v>
      </c>
      <c r="E21" s="51">
        <f t="shared" si="0"/>
        <v>1.4106594128447818</v>
      </c>
      <c r="F21" s="31">
        <f>'1. 용도별'!F20</f>
        <v>107816273.00560001</v>
      </c>
      <c r="G21" s="51">
        <f t="shared" si="0"/>
        <v>0.56637001171831414</v>
      </c>
      <c r="H21" s="31">
        <f>'1. 용도별'!H20</f>
        <v>42900911.273699999</v>
      </c>
      <c r="I21" s="51">
        <f t="shared" ref="I21" si="57">H21/$C21*100</f>
        <v>0.22536291548076226</v>
      </c>
      <c r="J21" s="31">
        <f>'1. 용도별'!J20</f>
        <v>49668824.516800001</v>
      </c>
      <c r="K21" s="51">
        <f t="shared" ref="K21" si="58">J21/$C21*100</f>
        <v>0.26091546238250862</v>
      </c>
      <c r="L21" s="31">
        <f>'1. 용도별'!L20</f>
        <v>21881980.0792</v>
      </c>
      <c r="M21" s="51">
        <f t="shared" ref="M21" si="59">L21/$C21*100</f>
        <v>0.1149483001812974</v>
      </c>
      <c r="N21" s="31">
        <f>'1. 용도별'!N20</f>
        <v>46270311.575599998</v>
      </c>
      <c r="O21" s="51">
        <f t="shared" ref="O21" si="60">N21/$C21*100</f>
        <v>0.24306272308189941</v>
      </c>
    </row>
    <row r="22" spans="2:21" s="20" customFormat="1" ht="18" customHeight="1">
      <c r="B22" s="28" t="s">
        <v>13</v>
      </c>
      <c r="C22" s="55">
        <v>10541727510.299999</v>
      </c>
      <c r="D22" s="17">
        <f>'1. 용도별'!D21</f>
        <v>286954277.41382498</v>
      </c>
      <c r="E22" s="51">
        <f t="shared" si="0"/>
        <v>2.7220802011193208</v>
      </c>
      <c r="F22" s="31">
        <f>'1. 용도별'!F21</f>
        <v>133572343.21465001</v>
      </c>
      <c r="G22" s="51">
        <f t="shared" si="0"/>
        <v>1.2670821085456871</v>
      </c>
      <c r="H22" s="31">
        <f>'1. 용도별'!H21</f>
        <v>53435149.105075002</v>
      </c>
      <c r="I22" s="51">
        <f t="shared" ref="I22" si="61">H22/$C22*100</f>
        <v>0.50689176942645464</v>
      </c>
      <c r="J22" s="31">
        <f>'1. 용도별'!J21</f>
        <v>45078306.039499998</v>
      </c>
      <c r="K22" s="51">
        <f t="shared" ref="K22" si="62">J22/$C22*100</f>
        <v>0.42761782635204115</v>
      </c>
      <c r="L22" s="31">
        <f>'1. 용도별'!L21</f>
        <v>22127287.2742</v>
      </c>
      <c r="M22" s="51">
        <f t="shared" ref="M22" si="63">L22/$C22*100</f>
        <v>0.20990190889092994</v>
      </c>
      <c r="N22" s="31">
        <f>'1. 용도별'!N21</f>
        <v>32741191.780400001</v>
      </c>
      <c r="O22" s="51">
        <f t="shared" ref="O22" si="64">N22/$C22*100</f>
        <v>0.31058658790420812</v>
      </c>
    </row>
    <row r="23" spans="2:21" s="20" customFormat="1" ht="18" customHeight="1">
      <c r="B23" s="28" t="s">
        <v>14</v>
      </c>
      <c r="C23" s="55">
        <v>1850227675.2</v>
      </c>
      <c r="D23" s="17">
        <f>'1. 용도별'!D22</f>
        <v>59414425.869260006</v>
      </c>
      <c r="E23" s="51">
        <f t="shared" si="0"/>
        <v>3.2111953931743895</v>
      </c>
      <c r="F23" s="31">
        <f>'1. 용도별'!F22</f>
        <v>25424249.877659999</v>
      </c>
      <c r="G23" s="51">
        <f t="shared" si="0"/>
        <v>1.3741146680724992</v>
      </c>
      <c r="H23" s="31">
        <f>'1. 용도별'!H22</f>
        <v>19920379.1274</v>
      </c>
      <c r="I23" s="51">
        <f t="shared" ref="I23" si="65">H23/$C23*100</f>
        <v>1.0766447499628233</v>
      </c>
      <c r="J23" s="31">
        <f>'1. 용도별'!J22</f>
        <v>849633.85049999994</v>
      </c>
      <c r="K23" s="51">
        <f t="shared" ref="K23" si="66">J23/$C23*100</f>
        <v>4.5920502751541588E-2</v>
      </c>
      <c r="L23" s="31">
        <f>'1. 용도별'!L22</f>
        <v>5540625.5717000002</v>
      </c>
      <c r="M23" s="51">
        <f t="shared" ref="M23" si="67">L23/$C23*100</f>
        <v>0.29945642074027928</v>
      </c>
      <c r="N23" s="31">
        <f>'1. 용도별'!N22</f>
        <v>7679537.4419999998</v>
      </c>
      <c r="O23" s="51">
        <f t="shared" ref="O23" si="68">N23/$C23*100</f>
        <v>0.4150590516472456</v>
      </c>
    </row>
    <row r="25" spans="2:21" ht="18" customHeight="1">
      <c r="O25" s="30"/>
      <c r="P25" s="30"/>
      <c r="Q25" s="30"/>
      <c r="R25" s="30"/>
      <c r="S25" s="30"/>
      <c r="T25" s="30"/>
      <c r="U25" s="30"/>
    </row>
  </sheetData>
  <mergeCells count="8">
    <mergeCell ref="L4:M4"/>
    <mergeCell ref="N4:O4"/>
    <mergeCell ref="B4:B5"/>
    <mergeCell ref="C4:C5"/>
    <mergeCell ref="D4:E4"/>
    <mergeCell ref="F4:G4"/>
    <mergeCell ref="H4:I4"/>
    <mergeCell ref="J4:K4"/>
  </mergeCells>
  <phoneticPr fontId="7" type="noConversion"/>
  <pageMargins left="0.7" right="0.7" top="0.75" bottom="0.75" header="0.3" footer="0.3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size="17" baseType="lpstr">
      <vt:lpstr>목차</vt:lpstr>
      <vt:lpstr>1. 용도별</vt:lpstr>
      <vt:lpstr>2. 주거용</vt:lpstr>
      <vt:lpstr>3. 상업용</vt:lpstr>
      <vt:lpstr>4. 고층</vt:lpstr>
      <vt:lpstr>8. 고층건축물 BACKUP(건축물대장)</vt:lpstr>
      <vt:lpstr>8.고층건축물BACKUP(건축+주택)</vt:lpstr>
      <vt:lpstr>5-1. 경과년수별(시도별)</vt:lpstr>
      <vt:lpstr>5-2. 30년이상 건축물(시군구별) </vt:lpstr>
      <vt:lpstr>6. 말소</vt:lpstr>
      <vt:lpstr>7-1. 층수별</vt:lpstr>
      <vt:lpstr>7-2. 면적별</vt:lpstr>
      <vt:lpstr>7-3. 소유주체별</vt:lpstr>
      <vt:lpstr>8-1. 1인당 건축물 현황(시도별)</vt:lpstr>
      <vt:lpstr>8-2. 1인당 건축물 현황(시군구별)</vt:lpstr>
      <vt:lpstr>9. 국토면적 대비 건축물 현황</vt:lpstr>
      <vt:lpstr>'8-2. 1인당 건축물 현황(시군구별)'!Print_Area</vt:lpstr>
    </vt:vector>
  </TitlesOfParts>
  <Company>솔리데오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</dc:creator>
  <cp:lastModifiedBy>이정훈</cp:lastModifiedBy>
  <cp:lastPrinted>2020-02-03T05:54:14Z</cp:lastPrinted>
  <dcterms:created xsi:type="dcterms:W3CDTF">2012-02-07T02:36:30Z</dcterms:created>
  <dcterms:modified xsi:type="dcterms:W3CDTF">2024-03-13T06:45:50Z</dcterms:modified>
</cp:coreProperties>
</file>